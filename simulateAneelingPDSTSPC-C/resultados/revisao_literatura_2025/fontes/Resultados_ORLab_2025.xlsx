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STSP-c" sheetId="1" r:id="rId4"/>
    <sheet state="visible" name="g1_40" sheetId="2" r:id="rId5"/>
    <sheet state="visible" name="g1_60" sheetId="3" r:id="rId6"/>
    <sheet state="visible" name="g1_80" sheetId="4" r:id="rId7"/>
    <sheet state="visible" name="g2_40" sheetId="5" r:id="rId8"/>
    <sheet state="visible" name="g2_60" sheetId="6" r:id="rId9"/>
    <sheet state="visible" name="g2_80" sheetId="7" r:id="rId10"/>
    <sheet state="visible" name="g3_40" sheetId="8" r:id="rId11"/>
    <sheet state="visible" name="g3_60" sheetId="9" r:id="rId12"/>
    <sheet state="visible" name="g3_80" sheetId="10" r:id="rId13"/>
    <sheet state="visible" name="Small" sheetId="11" r:id="rId14"/>
    <sheet state="visible" name="Large" sheetId="12" r:id="rId15"/>
  </sheets>
  <definedNames/>
  <calcPr/>
</workbook>
</file>

<file path=xl/sharedStrings.xml><?xml version="1.0" encoding="utf-8"?>
<sst xmlns="http://schemas.openxmlformats.org/spreadsheetml/2006/main" count="959" uniqueCount="84">
  <si>
    <t>RnR</t>
  </si>
  <si>
    <t>CP-flow</t>
  </si>
  <si>
    <t>Literature Best</t>
  </si>
  <si>
    <t>CP-interval</t>
  </si>
  <si>
    <t>UB</t>
  </si>
  <si>
    <t>LB</t>
  </si>
  <si>
    <t>Gap</t>
  </si>
  <si>
    <t>Time</t>
  </si>
  <si>
    <t>15-rc-c</t>
  </si>
  <si>
    <t>15-r-e</t>
  </si>
  <si>
    <t>16-c-c</t>
  </si>
  <si>
    <t>16-r-e</t>
  </si>
  <si>
    <t>18-rc-c</t>
  </si>
  <si>
    <t>18-r-e</t>
  </si>
  <si>
    <t>18-c-c</t>
  </si>
  <si>
    <t>19-c-c</t>
  </si>
  <si>
    <t>20-c-c</t>
  </si>
  <si>
    <t>20-r-c</t>
  </si>
  <si>
    <t>20-rc-e</t>
  </si>
  <si>
    <t>20-r-e</t>
  </si>
  <si>
    <t>20-rc-c</t>
  </si>
  <si>
    <t>21-r-e</t>
  </si>
  <si>
    <t>21-c-c</t>
  </si>
  <si>
    <t>23-c-e</t>
  </si>
  <si>
    <t>23-r-c</t>
  </si>
  <si>
    <t>24-rc-c</t>
  </si>
  <si>
    <t>24-c-e</t>
  </si>
  <si>
    <t>24-r-e</t>
  </si>
  <si>
    <t>25-r-e</t>
  </si>
  <si>
    <t>25-rc-e</t>
  </si>
  <si>
    <t>25-c-c</t>
  </si>
  <si>
    <t>26-r-c</t>
  </si>
  <si>
    <t>27-rc-c</t>
  </si>
  <si>
    <t>27-c-e</t>
  </si>
  <si>
    <t>27-rc-e</t>
  </si>
  <si>
    <t>27-c-c</t>
  </si>
  <si>
    <t>29-rc-e</t>
  </si>
  <si>
    <t>30-c-c</t>
  </si>
  <si>
    <t>50-r-e</t>
  </si>
  <si>
    <t>53-r-e</t>
  </si>
  <si>
    <t>66-rc-e</t>
  </si>
  <si>
    <t>67-c-c</t>
  </si>
  <si>
    <t>68-rc-c</t>
  </si>
  <si>
    <t>76-c-c</t>
  </si>
  <si>
    <t>82-rc-c</t>
  </si>
  <si>
    <t>82-c-e</t>
  </si>
  <si>
    <t>88-c-e</t>
  </si>
  <si>
    <t>91-r-c</t>
  </si>
  <si>
    <t>99-rc-c</t>
  </si>
  <si>
    <t>101-r-c</t>
  </si>
  <si>
    <t>103-rc-c</t>
  </si>
  <si>
    <t>105-rc-e</t>
  </si>
  <si>
    <t>108-rc-e</t>
  </si>
  <si>
    <t>114-rc-c</t>
  </si>
  <si>
    <t>121-rc-e</t>
  </si>
  <si>
    <t>126-rc-e</t>
  </si>
  <si>
    <t>126-r-c</t>
  </si>
  <si>
    <t>144-rc-c</t>
  </si>
  <si>
    <t>154-c-c</t>
  </si>
  <si>
    <t>165-r-c</t>
  </si>
  <si>
    <t>167-r-e</t>
  </si>
  <si>
    <t>173-rc-c</t>
  </si>
  <si>
    <t>173-r-c</t>
  </si>
  <si>
    <t>181-r-e</t>
  </si>
  <si>
    <t>185-c-c</t>
  </si>
  <si>
    <t>187-rc-e</t>
  </si>
  <si>
    <t>198-c-c</t>
  </si>
  <si>
    <t>200-r-e</t>
  </si>
  <si>
    <t>Instance</t>
  </si>
  <si>
    <t>CP-MDC</t>
  </si>
  <si>
    <t>CP-new</t>
  </si>
  <si>
    <t>LNS</t>
  </si>
  <si>
    <t>Best</t>
  </si>
  <si>
    <t>CP-Interval</t>
  </si>
  <si>
    <t>Avg</t>
  </si>
  <si>
    <t>Gap Best</t>
  </si>
  <si>
    <t>#Best</t>
  </si>
  <si>
    <t>Avg Gap Best</t>
  </si>
  <si>
    <t>Gap LB</t>
  </si>
  <si>
    <t>Avg Gap LB</t>
  </si>
  <si>
    <t>g1</t>
  </si>
  <si>
    <t>g2</t>
  </si>
  <si>
    <t>g3</t>
  </si>
  <si>
    <t>Total/Avg.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</si>
</sst>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0" xfId="0" applyFont="1" applyNumberFormat="1"/>
    <xf borderId="0" fillId="0" fontId="1" numFmtId="4" xfId="0" applyFont="1" applyNumberFormat="1"/>
    <xf borderId="0" fillId="2" fontId="1" numFmtId="0" xfId="0" applyFont="1"/>
    <xf borderId="0" fillId="2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1">
    <tableStyle count="2" pivot="0" name="PDSTSP-c-style">
      <tableStyleElement dxfId="1" type="firstRowStripe"/>
      <tableStyleElement dxfId="2" type="secondRowStripe"/>
    </tableStyle>
    <tableStyle count="2" pivot="0" name="PDSTSP-c-style 2">
      <tableStyleElement dxfId="1" type="firstRowStripe"/>
      <tableStyleElement dxfId="2" type="secondRowStripe"/>
    </tableStyle>
    <tableStyle count="2" pivot="0" name="g1_40-style">
      <tableStyleElement dxfId="1" type="firstRowStripe"/>
      <tableStyleElement dxfId="2" type="secondRowStripe"/>
    </tableStyle>
    <tableStyle count="2" pivot="0" name="g1_60-style">
      <tableStyleElement dxfId="1" type="firstRowStripe"/>
      <tableStyleElement dxfId="2" type="secondRowStripe"/>
    </tableStyle>
    <tableStyle count="2" pivot="0" name="g1_80-style">
      <tableStyleElement dxfId="1" type="firstRowStripe"/>
      <tableStyleElement dxfId="2" type="secondRowStripe"/>
    </tableStyle>
    <tableStyle count="2" pivot="0" name="g2_40-style">
      <tableStyleElement dxfId="1" type="firstRowStripe"/>
      <tableStyleElement dxfId="2" type="secondRowStripe"/>
    </tableStyle>
    <tableStyle count="2" pivot="0" name="g2_60-style">
      <tableStyleElement dxfId="1" type="firstRowStripe"/>
      <tableStyleElement dxfId="2" type="secondRowStripe"/>
    </tableStyle>
    <tableStyle count="2" pivot="0" name="g2_80-style">
      <tableStyleElement dxfId="1" type="firstRowStripe"/>
      <tableStyleElement dxfId="2" type="secondRowStripe"/>
    </tableStyle>
    <tableStyle count="2" pivot="0" name="g3_40-style">
      <tableStyleElement dxfId="1" type="firstRowStripe"/>
      <tableStyleElement dxfId="2" type="secondRowStripe"/>
    </tableStyle>
    <tableStyle count="2" pivot="0" name="g3_60-style">
      <tableStyleElement dxfId="1" type="firstRowStripe"/>
      <tableStyleElement dxfId="2" type="secondRowStripe"/>
    </tableStyle>
    <tableStyle count="2" pivot="0" name="g3_80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I6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DSTSP-c-style" showColumnStripes="0" showFirstColumn="1" showLastColumn="1" showRowStripes="1"/>
</table>
</file>

<file path=xl/tables/table2.xml><?xml version="1.0" encoding="utf-8"?>
<table xmlns="http://schemas.openxmlformats.org/spreadsheetml/2006/main" headerRowCount="0" ref="L3:M62" displayName="Table_2" name="Table_2" id="2">
  <tableColumns count="2">
    <tableColumn name="Column1" id="1"/>
    <tableColumn name="Column2" id="2"/>
  </tableColumns>
  <tableStyleInfo name="PDSTSP-c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:E6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g1_40-style" showColumnStripes="0" showFirstColumn="1" showLastColumn="1" showRowStripes="1"/>
</table>
</file>

<file path=xl/tables/table4.xml><?xml version="1.0" encoding="utf-8"?>
<table xmlns="http://schemas.openxmlformats.org/spreadsheetml/2006/main" headerRowCount="0" ref="A3:E62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g1_60-style" showColumnStripes="0" showFirstColumn="1" showLastColumn="1" showRowStripes="1"/>
</table>
</file>

<file path=xl/tables/table5.xml><?xml version="1.0" encoding="utf-8"?>
<table xmlns="http://schemas.openxmlformats.org/spreadsheetml/2006/main" headerRowCount="0" ref="A3:E62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g1_80-style" showColumnStripes="0" showFirstColumn="1" showLastColumn="1" showRowStripes="1"/>
</table>
</file>

<file path=xl/tables/table6.xml><?xml version="1.0" encoding="utf-8"?>
<table xmlns="http://schemas.openxmlformats.org/spreadsheetml/2006/main" headerRowCount="0" ref="A3:E62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g2_40-style" showColumnStripes="0" showFirstColumn="1" showLastColumn="1" showRowStripes="1"/>
</table>
</file>

<file path=xl/tables/table7.xml><?xml version="1.0" encoding="utf-8"?>
<table xmlns="http://schemas.openxmlformats.org/spreadsheetml/2006/main" headerRowCount="0" ref="A3:D62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g2_60-style" showColumnStripes="0" showFirstColumn="1" showLastColumn="1" showRowStripes="1"/>
</table>
</file>

<file path=xl/tables/table8.xml><?xml version="1.0" encoding="utf-8"?>
<table xmlns="http://schemas.openxmlformats.org/spreadsheetml/2006/main" headerRowCount="0" ref="A3:D62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g2_80-style" showColumnStripes="0" showFirstColumn="1" showLastColumn="1" showRowStripes="1"/>
</table>
</file>

<file path=xl/tables/table9.xml><?xml version="1.0" encoding="utf-8"?>
<table xmlns="http://schemas.openxmlformats.org/spreadsheetml/2006/main" headerRowCount="0" ref="A3:D62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g3_40-style" showColumnStripes="0" showFirstColumn="1" showLastColumn="1" showRowStripes="1"/>
</table>
</file>

<file path=xl/tables/table10.xml><?xml version="1.0" encoding="utf-8"?>
<table xmlns="http://schemas.openxmlformats.org/spreadsheetml/2006/main" headerRowCount="0" ref="A3:D62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g3_60-style" showColumnStripes="0" showFirstColumn="1" showLastColumn="1" showRowStripes="1"/>
</table>
</file>

<file path=xl/tables/table11.xml><?xml version="1.0" encoding="utf-8"?>
<table xmlns="http://schemas.openxmlformats.org/spreadsheetml/2006/main" headerRowCount="0" ref="A3:D62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g3_8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2"/>
      <c r="F1" s="3"/>
      <c r="G1" s="1" t="s">
        <v>2</v>
      </c>
      <c r="H1" s="4"/>
      <c r="I1" s="2"/>
      <c r="J1" s="1" t="s">
        <v>3</v>
      </c>
      <c r="K1" s="4"/>
      <c r="L1" s="2"/>
      <c r="M1" s="3"/>
    </row>
    <row r="2">
      <c r="A2" s="1"/>
      <c r="B2" s="1" t="s">
        <v>4</v>
      </c>
      <c r="C2" s="1" t="s">
        <v>5</v>
      </c>
      <c r="D2" s="1" t="s">
        <v>4</v>
      </c>
      <c r="E2" s="5" t="s">
        <v>6</v>
      </c>
      <c r="F2" s="6" t="s">
        <v>7</v>
      </c>
      <c r="G2" s="1" t="s">
        <v>5</v>
      </c>
      <c r="H2" s="1" t="s">
        <v>4</v>
      </c>
      <c r="I2" s="5" t="s">
        <v>6</v>
      </c>
      <c r="J2" s="1" t="s">
        <v>5</v>
      </c>
      <c r="K2" s="1" t="s">
        <v>4</v>
      </c>
      <c r="L2" s="5" t="s">
        <v>6</v>
      </c>
      <c r="M2" s="6" t="s">
        <v>7</v>
      </c>
    </row>
    <row r="3">
      <c r="A3" s="1" t="s">
        <v>8</v>
      </c>
      <c r="B3" s="1">
        <v>44.0</v>
      </c>
      <c r="C3" s="1">
        <v>44.0</v>
      </c>
      <c r="D3" s="1">
        <v>44.0</v>
      </c>
      <c r="E3" s="7">
        <f t="shared" ref="E3:E62" si="1">(D3-C3)/D3</f>
        <v>0</v>
      </c>
      <c r="F3" s="8">
        <v>12.0</v>
      </c>
      <c r="G3" s="1">
        <v>44.0</v>
      </c>
      <c r="H3" s="1">
        <v>44.0</v>
      </c>
      <c r="I3" s="7">
        <f t="shared" ref="I3:I62" si="2">(H3-G3)/H3</f>
        <v>0</v>
      </c>
      <c r="J3" s="1">
        <v>44.0</v>
      </c>
      <c r="K3" s="1">
        <v>44.0</v>
      </c>
      <c r="L3" s="7">
        <f t="shared" ref="L3:L62" si="3">(K3-J3)/K3</f>
        <v>0</v>
      </c>
      <c r="M3" s="8">
        <v>0.46</v>
      </c>
    </row>
    <row r="4">
      <c r="A4" s="1" t="s">
        <v>9</v>
      </c>
      <c r="B4" s="1">
        <v>92.0</v>
      </c>
      <c r="C4" s="1">
        <v>92.0</v>
      </c>
      <c r="D4" s="1">
        <v>92.0</v>
      </c>
      <c r="E4" s="7">
        <f t="shared" si="1"/>
        <v>0</v>
      </c>
      <c r="F4" s="8">
        <v>1.14</v>
      </c>
      <c r="G4" s="1">
        <v>92.0</v>
      </c>
      <c r="H4" s="1">
        <v>92.0</v>
      </c>
      <c r="I4" s="7">
        <f t="shared" si="2"/>
        <v>0</v>
      </c>
      <c r="J4" s="1">
        <v>92.0</v>
      </c>
      <c r="K4" s="1">
        <v>92.0</v>
      </c>
      <c r="L4" s="7">
        <f t="shared" si="3"/>
        <v>0</v>
      </c>
      <c r="M4" s="8">
        <v>0.09</v>
      </c>
    </row>
    <row r="5">
      <c r="A5" s="1" t="s">
        <v>10</v>
      </c>
      <c r="B5" s="1">
        <v>60.0</v>
      </c>
      <c r="C5" s="1">
        <v>60.0</v>
      </c>
      <c r="D5" s="1">
        <v>60.0</v>
      </c>
      <c r="E5" s="7">
        <f t="shared" si="1"/>
        <v>0</v>
      </c>
      <c r="F5" s="8">
        <v>2.1</v>
      </c>
      <c r="G5" s="1">
        <v>60.0</v>
      </c>
      <c r="H5" s="1">
        <v>60.0</v>
      </c>
      <c r="I5" s="7">
        <f t="shared" si="2"/>
        <v>0</v>
      </c>
      <c r="J5" s="1">
        <v>60.0</v>
      </c>
      <c r="K5" s="1">
        <v>60.0</v>
      </c>
      <c r="L5" s="7">
        <f t="shared" si="3"/>
        <v>0</v>
      </c>
      <c r="M5" s="8">
        <v>0.05</v>
      </c>
    </row>
    <row r="6">
      <c r="A6" s="1" t="s">
        <v>11</v>
      </c>
      <c r="B6" s="1">
        <v>112.0</v>
      </c>
      <c r="C6" s="1">
        <v>112.0</v>
      </c>
      <c r="D6" s="1">
        <v>112.0</v>
      </c>
      <c r="E6" s="7">
        <f t="shared" si="1"/>
        <v>0</v>
      </c>
      <c r="F6" s="8">
        <v>1.61</v>
      </c>
      <c r="G6" s="1">
        <v>112.0</v>
      </c>
      <c r="H6" s="1">
        <v>112.0</v>
      </c>
      <c r="I6" s="7">
        <f t="shared" si="2"/>
        <v>0</v>
      </c>
      <c r="J6" s="1">
        <v>112.0</v>
      </c>
      <c r="K6" s="1">
        <v>112.0</v>
      </c>
      <c r="L6" s="7">
        <f t="shared" si="3"/>
        <v>0</v>
      </c>
      <c r="M6" s="8">
        <v>0.06</v>
      </c>
    </row>
    <row r="7">
      <c r="A7" s="1" t="s">
        <v>12</v>
      </c>
      <c r="B7" s="1">
        <v>57.0</v>
      </c>
      <c r="C7" s="1">
        <v>57.0</v>
      </c>
      <c r="D7" s="1">
        <v>57.0</v>
      </c>
      <c r="E7" s="7">
        <f t="shared" si="1"/>
        <v>0</v>
      </c>
      <c r="F7" s="8">
        <v>1803.93</v>
      </c>
      <c r="G7" s="1">
        <v>57.0</v>
      </c>
      <c r="H7" s="1">
        <v>57.0</v>
      </c>
      <c r="I7" s="7">
        <f t="shared" si="2"/>
        <v>0</v>
      </c>
      <c r="J7" s="1">
        <v>57.0</v>
      </c>
      <c r="K7" s="1">
        <v>57.0</v>
      </c>
      <c r="L7" s="7">
        <f t="shared" si="3"/>
        <v>0</v>
      </c>
      <c r="M7" s="8">
        <v>0.97</v>
      </c>
    </row>
    <row r="8">
      <c r="A8" s="1" t="s">
        <v>13</v>
      </c>
      <c r="B8" s="1">
        <v>96.0</v>
      </c>
      <c r="C8" s="1">
        <v>96.0</v>
      </c>
      <c r="D8" s="1">
        <v>96.0</v>
      </c>
      <c r="E8" s="7">
        <f t="shared" si="1"/>
        <v>0</v>
      </c>
      <c r="F8" s="8">
        <v>4.7</v>
      </c>
      <c r="G8" s="1">
        <v>96.0</v>
      </c>
      <c r="H8" s="1">
        <v>96.0</v>
      </c>
      <c r="I8" s="7">
        <f t="shared" si="2"/>
        <v>0</v>
      </c>
      <c r="J8" s="1">
        <v>96.0</v>
      </c>
      <c r="K8" s="1">
        <v>96.0</v>
      </c>
      <c r="L8" s="7">
        <f t="shared" si="3"/>
        <v>0</v>
      </c>
      <c r="M8" s="8">
        <v>0.24</v>
      </c>
    </row>
    <row r="9">
      <c r="A9" s="1" t="s">
        <v>14</v>
      </c>
      <c r="B9" s="1">
        <v>56.0</v>
      </c>
      <c r="C9" s="1">
        <v>56.0</v>
      </c>
      <c r="D9" s="1">
        <v>56.0</v>
      </c>
      <c r="E9" s="7">
        <f t="shared" si="1"/>
        <v>0</v>
      </c>
      <c r="F9" s="8">
        <v>42.22</v>
      </c>
      <c r="G9" s="1">
        <v>56.0</v>
      </c>
      <c r="H9" s="1">
        <v>56.0</v>
      </c>
      <c r="I9" s="7">
        <f t="shared" si="2"/>
        <v>0</v>
      </c>
      <c r="J9" s="1">
        <v>56.0</v>
      </c>
      <c r="K9" s="1">
        <v>56.0</v>
      </c>
      <c r="L9" s="7">
        <f t="shared" si="3"/>
        <v>0</v>
      </c>
      <c r="M9" s="8">
        <v>0.27</v>
      </c>
    </row>
    <row r="10">
      <c r="A10" s="1" t="s">
        <v>15</v>
      </c>
      <c r="B10" s="1">
        <v>44.0</v>
      </c>
      <c r="C10" s="1">
        <v>44.0</v>
      </c>
      <c r="D10" s="1">
        <v>44.0</v>
      </c>
      <c r="E10" s="7">
        <f t="shared" si="1"/>
        <v>0</v>
      </c>
      <c r="F10" s="8">
        <v>24.91</v>
      </c>
      <c r="G10" s="1">
        <v>44.0</v>
      </c>
      <c r="H10" s="1">
        <v>44.0</v>
      </c>
      <c r="I10" s="7">
        <f t="shared" si="2"/>
        <v>0</v>
      </c>
      <c r="J10" s="1">
        <v>44.0</v>
      </c>
      <c r="K10" s="1">
        <v>44.0</v>
      </c>
      <c r="L10" s="7">
        <f t="shared" si="3"/>
        <v>0</v>
      </c>
      <c r="M10" s="8">
        <v>0.87</v>
      </c>
    </row>
    <row r="11">
      <c r="A11" s="1" t="s">
        <v>16</v>
      </c>
      <c r="B11" s="1">
        <v>43.0</v>
      </c>
      <c r="C11" s="1">
        <v>40.0</v>
      </c>
      <c r="D11" s="1">
        <v>43.0</v>
      </c>
      <c r="E11" s="7">
        <f t="shared" si="1"/>
        <v>0.06976744186</v>
      </c>
      <c r="F11" s="8">
        <v>3600.0</v>
      </c>
      <c r="G11" s="1">
        <v>40.0</v>
      </c>
      <c r="H11" s="1">
        <v>43.0</v>
      </c>
      <c r="I11" s="7">
        <f t="shared" si="2"/>
        <v>0.06976744186</v>
      </c>
      <c r="J11" s="1">
        <v>43.0</v>
      </c>
      <c r="K11" s="1">
        <v>43.0</v>
      </c>
      <c r="L11" s="7">
        <f t="shared" si="3"/>
        <v>0</v>
      </c>
      <c r="M11" s="8">
        <v>0.17</v>
      </c>
    </row>
    <row r="12">
      <c r="A12" s="1" t="s">
        <v>17</v>
      </c>
      <c r="B12" s="1">
        <v>64.0</v>
      </c>
      <c r="C12" s="1">
        <v>64.0</v>
      </c>
      <c r="D12" s="1">
        <v>64.0</v>
      </c>
      <c r="E12" s="7">
        <f t="shared" si="1"/>
        <v>0</v>
      </c>
      <c r="F12" s="8">
        <v>73.39</v>
      </c>
      <c r="G12" s="1">
        <v>64.0</v>
      </c>
      <c r="H12" s="1">
        <v>64.0</v>
      </c>
      <c r="I12" s="7">
        <f t="shared" si="2"/>
        <v>0</v>
      </c>
      <c r="J12" s="1">
        <v>64.0</v>
      </c>
      <c r="K12" s="1">
        <v>64.0</v>
      </c>
      <c r="L12" s="7">
        <f t="shared" si="3"/>
        <v>0</v>
      </c>
      <c r="M12" s="8">
        <v>0.41</v>
      </c>
    </row>
    <row r="13">
      <c r="A13" s="1" t="s">
        <v>18</v>
      </c>
      <c r="B13" s="1">
        <v>100.0</v>
      </c>
      <c r="C13" s="1">
        <v>100.0</v>
      </c>
      <c r="D13" s="1">
        <v>100.0</v>
      </c>
      <c r="E13" s="7">
        <f t="shared" si="1"/>
        <v>0</v>
      </c>
      <c r="F13" s="8">
        <v>4.7</v>
      </c>
      <c r="G13" s="1">
        <v>100.0</v>
      </c>
      <c r="H13" s="1">
        <v>100.0</v>
      </c>
      <c r="I13" s="7">
        <f t="shared" si="2"/>
        <v>0</v>
      </c>
      <c r="J13" s="1">
        <v>100.0</v>
      </c>
      <c r="K13" s="1">
        <v>100.0</v>
      </c>
      <c r="L13" s="7">
        <f t="shared" si="3"/>
        <v>0</v>
      </c>
      <c r="M13" s="8">
        <v>0.08</v>
      </c>
    </row>
    <row r="14">
      <c r="A14" s="1" t="s">
        <v>19</v>
      </c>
      <c r="B14" s="1">
        <v>80.0</v>
      </c>
      <c r="C14" s="1">
        <v>80.0</v>
      </c>
      <c r="D14" s="1">
        <v>80.0</v>
      </c>
      <c r="E14" s="7">
        <f t="shared" si="1"/>
        <v>0</v>
      </c>
      <c r="F14" s="8">
        <v>38.11</v>
      </c>
      <c r="G14" s="1">
        <v>80.0</v>
      </c>
      <c r="H14" s="1">
        <v>80.0</v>
      </c>
      <c r="I14" s="7">
        <f t="shared" si="2"/>
        <v>0</v>
      </c>
      <c r="J14" s="1">
        <v>80.0</v>
      </c>
      <c r="K14" s="1">
        <v>80.0</v>
      </c>
      <c r="L14" s="7">
        <f t="shared" si="3"/>
        <v>0</v>
      </c>
      <c r="M14" s="8">
        <v>0.29</v>
      </c>
    </row>
    <row r="15">
      <c r="A15" s="1" t="s">
        <v>20</v>
      </c>
      <c r="B15" s="1">
        <v>96.0</v>
      </c>
      <c r="C15" s="1">
        <v>96.0</v>
      </c>
      <c r="D15" s="1">
        <v>96.0</v>
      </c>
      <c r="E15" s="7">
        <f t="shared" si="1"/>
        <v>0</v>
      </c>
      <c r="F15" s="8">
        <v>6.23</v>
      </c>
      <c r="G15" s="1">
        <v>96.0</v>
      </c>
      <c r="H15" s="1">
        <v>96.0</v>
      </c>
      <c r="I15" s="7">
        <f t="shared" si="2"/>
        <v>0</v>
      </c>
      <c r="J15" s="1">
        <v>96.0</v>
      </c>
      <c r="K15" s="1">
        <v>96.0</v>
      </c>
      <c r="L15" s="7">
        <f t="shared" si="3"/>
        <v>0</v>
      </c>
      <c r="M15" s="8">
        <v>0.06</v>
      </c>
    </row>
    <row r="16">
      <c r="A16" s="1" t="s">
        <v>21</v>
      </c>
      <c r="B16" s="1">
        <v>85.0</v>
      </c>
      <c r="C16" s="1">
        <v>85.0</v>
      </c>
      <c r="D16" s="1">
        <v>85.0</v>
      </c>
      <c r="E16" s="7">
        <f t="shared" si="1"/>
        <v>0</v>
      </c>
      <c r="F16" s="8">
        <v>940.55</v>
      </c>
      <c r="G16" s="1">
        <v>85.0</v>
      </c>
      <c r="H16" s="1">
        <v>85.0</v>
      </c>
      <c r="I16" s="7">
        <f t="shared" si="2"/>
        <v>0</v>
      </c>
      <c r="J16" s="1">
        <v>85.0</v>
      </c>
      <c r="K16" s="1">
        <v>85.0</v>
      </c>
      <c r="L16" s="7">
        <f t="shared" si="3"/>
        <v>0</v>
      </c>
      <c r="M16" s="8">
        <v>22.97</v>
      </c>
    </row>
    <row r="17">
      <c r="A17" s="1" t="s">
        <v>22</v>
      </c>
      <c r="B17" s="1">
        <v>62.0</v>
      </c>
      <c r="C17" s="1">
        <v>60.0</v>
      </c>
      <c r="D17" s="1">
        <v>62.0</v>
      </c>
      <c r="E17" s="7">
        <f t="shared" si="1"/>
        <v>0.03225806452</v>
      </c>
      <c r="F17" s="8">
        <v>3600.0</v>
      </c>
      <c r="G17" s="1">
        <v>60.0</v>
      </c>
      <c r="H17" s="1">
        <v>62.0</v>
      </c>
      <c r="I17" s="7">
        <f t="shared" si="2"/>
        <v>0.03225806452</v>
      </c>
      <c r="J17" s="1">
        <v>62.0</v>
      </c>
      <c r="K17" s="1">
        <v>62.0</v>
      </c>
      <c r="L17" s="7">
        <f t="shared" si="3"/>
        <v>0</v>
      </c>
      <c r="M17" s="8">
        <v>14.22</v>
      </c>
    </row>
    <row r="18">
      <c r="A18" s="1" t="s">
        <v>23</v>
      </c>
      <c r="B18" s="1">
        <v>80.0</v>
      </c>
      <c r="C18" s="1">
        <v>80.0</v>
      </c>
      <c r="D18" s="1">
        <v>80.0</v>
      </c>
      <c r="E18" s="7">
        <f t="shared" si="1"/>
        <v>0</v>
      </c>
      <c r="F18" s="8">
        <v>1.31</v>
      </c>
      <c r="G18" s="1">
        <v>80.0</v>
      </c>
      <c r="H18" s="1">
        <v>80.0</v>
      </c>
      <c r="I18" s="7">
        <f t="shared" si="2"/>
        <v>0</v>
      </c>
      <c r="J18" s="1">
        <v>80.0</v>
      </c>
      <c r="K18" s="1">
        <v>80.0</v>
      </c>
      <c r="L18" s="7">
        <f t="shared" si="3"/>
        <v>0</v>
      </c>
      <c r="M18" s="8">
        <v>0.06</v>
      </c>
    </row>
    <row r="19">
      <c r="A19" s="1" t="s">
        <v>24</v>
      </c>
      <c r="B19" s="1">
        <v>88.0</v>
      </c>
      <c r="C19" s="1">
        <v>88.0</v>
      </c>
      <c r="D19" s="1">
        <v>88.0</v>
      </c>
      <c r="E19" s="7">
        <f t="shared" si="1"/>
        <v>0</v>
      </c>
      <c r="F19" s="8">
        <v>8.97</v>
      </c>
      <c r="G19" s="1">
        <v>88.0</v>
      </c>
      <c r="H19" s="1">
        <v>88.0</v>
      </c>
      <c r="I19" s="7">
        <f t="shared" si="2"/>
        <v>0</v>
      </c>
      <c r="J19" s="1">
        <v>88.0</v>
      </c>
      <c r="K19" s="1">
        <v>88.0</v>
      </c>
      <c r="L19" s="7">
        <f t="shared" si="3"/>
        <v>0</v>
      </c>
      <c r="M19" s="8">
        <v>0.43</v>
      </c>
    </row>
    <row r="20">
      <c r="A20" s="1" t="s">
        <v>25</v>
      </c>
      <c r="B20" s="1">
        <v>70.0</v>
      </c>
      <c r="C20" s="1">
        <v>70.0</v>
      </c>
      <c r="D20" s="1">
        <v>70.0</v>
      </c>
      <c r="E20" s="7">
        <f t="shared" si="1"/>
        <v>0</v>
      </c>
      <c r="F20" s="8">
        <v>190.03</v>
      </c>
      <c r="G20" s="1">
        <v>70.0</v>
      </c>
      <c r="H20" s="1">
        <v>70.0</v>
      </c>
      <c r="I20" s="7">
        <f t="shared" si="2"/>
        <v>0</v>
      </c>
      <c r="J20" s="1">
        <v>70.0</v>
      </c>
      <c r="K20" s="1">
        <v>70.0</v>
      </c>
      <c r="L20" s="7">
        <f t="shared" si="3"/>
        <v>0</v>
      </c>
      <c r="M20" s="8">
        <v>0.31</v>
      </c>
    </row>
    <row r="21">
      <c r="A21" s="1" t="s">
        <v>26</v>
      </c>
      <c r="B21" s="1">
        <v>84.0</v>
      </c>
      <c r="C21" s="1">
        <v>84.0</v>
      </c>
      <c r="D21" s="1">
        <v>84.0</v>
      </c>
      <c r="E21" s="7">
        <f t="shared" si="1"/>
        <v>0</v>
      </c>
      <c r="F21" s="8">
        <v>11.05</v>
      </c>
      <c r="G21" s="1">
        <v>84.0</v>
      </c>
      <c r="H21" s="1">
        <v>84.0</v>
      </c>
      <c r="I21" s="7">
        <f t="shared" si="2"/>
        <v>0</v>
      </c>
      <c r="J21" s="1">
        <v>84.0</v>
      </c>
      <c r="K21" s="1">
        <v>84.0</v>
      </c>
      <c r="L21" s="7">
        <f t="shared" si="3"/>
        <v>0</v>
      </c>
      <c r="M21" s="8">
        <v>0.08</v>
      </c>
    </row>
    <row r="22">
      <c r="A22" s="1" t="s">
        <v>27</v>
      </c>
      <c r="B22" s="1">
        <v>112.0</v>
      </c>
      <c r="C22" s="1">
        <v>112.0</v>
      </c>
      <c r="D22" s="1">
        <v>112.0</v>
      </c>
      <c r="E22" s="7">
        <f t="shared" si="1"/>
        <v>0</v>
      </c>
      <c r="F22" s="8">
        <v>955.94</v>
      </c>
      <c r="G22" s="1">
        <v>112.0</v>
      </c>
      <c r="H22" s="1">
        <v>112.0</v>
      </c>
      <c r="I22" s="7">
        <f t="shared" si="2"/>
        <v>0</v>
      </c>
      <c r="J22" s="1">
        <v>112.0</v>
      </c>
      <c r="K22" s="1">
        <v>112.0</v>
      </c>
      <c r="L22" s="7">
        <f t="shared" si="3"/>
        <v>0</v>
      </c>
      <c r="M22" s="8">
        <v>1.79</v>
      </c>
    </row>
    <row r="23">
      <c r="A23" s="1" t="s">
        <v>28</v>
      </c>
      <c r="B23" s="1">
        <v>104.0</v>
      </c>
      <c r="C23" s="1">
        <v>104.0</v>
      </c>
      <c r="D23" s="1">
        <v>104.0</v>
      </c>
      <c r="E23" s="7">
        <f t="shared" si="1"/>
        <v>0</v>
      </c>
      <c r="F23" s="8">
        <v>288.19</v>
      </c>
      <c r="G23" s="1">
        <v>104.0</v>
      </c>
      <c r="H23" s="1">
        <v>104.0</v>
      </c>
      <c r="I23" s="7">
        <f t="shared" si="2"/>
        <v>0</v>
      </c>
      <c r="J23" s="1">
        <v>104.0</v>
      </c>
      <c r="K23" s="1">
        <v>104.0</v>
      </c>
      <c r="L23" s="7">
        <f t="shared" si="3"/>
        <v>0</v>
      </c>
      <c r="M23" s="8">
        <v>2.43</v>
      </c>
    </row>
    <row r="24">
      <c r="A24" s="1" t="s">
        <v>29</v>
      </c>
      <c r="B24" s="1">
        <v>92.0</v>
      </c>
      <c r="C24" s="1">
        <v>92.0</v>
      </c>
      <c r="D24" s="1">
        <v>92.0</v>
      </c>
      <c r="E24" s="7">
        <f t="shared" si="1"/>
        <v>0</v>
      </c>
      <c r="F24" s="8">
        <v>113.76</v>
      </c>
      <c r="G24" s="1">
        <v>92.0</v>
      </c>
      <c r="H24" s="1">
        <v>92.0</v>
      </c>
      <c r="I24" s="7">
        <f t="shared" si="2"/>
        <v>0</v>
      </c>
      <c r="J24" s="1">
        <v>92.0</v>
      </c>
      <c r="K24" s="1">
        <v>92.0</v>
      </c>
      <c r="L24" s="7">
        <f t="shared" si="3"/>
        <v>0</v>
      </c>
      <c r="M24" s="8">
        <v>1.58</v>
      </c>
    </row>
    <row r="25">
      <c r="A25" s="1" t="s">
        <v>30</v>
      </c>
      <c r="B25" s="1">
        <v>56.0</v>
      </c>
      <c r="C25" s="1">
        <v>56.0</v>
      </c>
      <c r="D25" s="1">
        <v>56.0</v>
      </c>
      <c r="E25" s="7">
        <f t="shared" si="1"/>
        <v>0</v>
      </c>
      <c r="F25" s="8">
        <v>44.85</v>
      </c>
      <c r="G25" s="1">
        <v>56.0</v>
      </c>
      <c r="H25" s="1">
        <v>56.0</v>
      </c>
      <c r="I25" s="7">
        <f t="shared" si="2"/>
        <v>0</v>
      </c>
      <c r="J25" s="1">
        <v>56.0</v>
      </c>
      <c r="K25" s="1">
        <v>56.0</v>
      </c>
      <c r="L25" s="7">
        <f t="shared" si="3"/>
        <v>0</v>
      </c>
      <c r="M25" s="8">
        <v>0.63</v>
      </c>
    </row>
    <row r="26">
      <c r="A26" s="1" t="s">
        <v>31</v>
      </c>
      <c r="B26" s="1">
        <v>103.0</v>
      </c>
      <c r="C26" s="1">
        <v>101.0</v>
      </c>
      <c r="D26" s="1">
        <v>103.0</v>
      </c>
      <c r="E26" s="7">
        <f t="shared" si="1"/>
        <v>0.01941747573</v>
      </c>
      <c r="F26" s="8">
        <v>3600.0</v>
      </c>
      <c r="G26" s="1">
        <v>101.0</v>
      </c>
      <c r="H26" s="1">
        <v>103.0</v>
      </c>
      <c r="I26" s="7">
        <f t="shared" si="2"/>
        <v>0.01941747573</v>
      </c>
      <c r="J26" s="1">
        <v>103.0</v>
      </c>
      <c r="K26" s="1">
        <v>103.0</v>
      </c>
      <c r="L26" s="7">
        <f t="shared" si="3"/>
        <v>0</v>
      </c>
      <c r="M26" s="8">
        <v>9.1</v>
      </c>
    </row>
    <row r="27">
      <c r="A27" s="1" t="s">
        <v>32</v>
      </c>
      <c r="B27" s="1">
        <v>100.0</v>
      </c>
      <c r="C27" s="1">
        <v>100.0</v>
      </c>
      <c r="D27" s="1">
        <v>100.0</v>
      </c>
      <c r="E27" s="7">
        <f t="shared" si="1"/>
        <v>0</v>
      </c>
      <c r="F27" s="8">
        <v>71.17</v>
      </c>
      <c r="G27" s="1">
        <v>100.0</v>
      </c>
      <c r="H27" s="1">
        <v>100.0</v>
      </c>
      <c r="I27" s="7">
        <f t="shared" si="2"/>
        <v>0</v>
      </c>
      <c r="J27" s="1">
        <v>100.0</v>
      </c>
      <c r="K27" s="1">
        <v>100.0</v>
      </c>
      <c r="L27" s="7">
        <f t="shared" si="3"/>
        <v>0</v>
      </c>
      <c r="M27" s="8">
        <v>0.14</v>
      </c>
    </row>
    <row r="28">
      <c r="A28" s="1" t="s">
        <v>33</v>
      </c>
      <c r="B28" s="1">
        <v>68.0</v>
      </c>
      <c r="C28" s="1">
        <v>68.0</v>
      </c>
      <c r="D28" s="1">
        <v>68.0</v>
      </c>
      <c r="E28" s="7">
        <f t="shared" si="1"/>
        <v>0</v>
      </c>
      <c r="F28" s="8">
        <v>33.23</v>
      </c>
      <c r="G28" s="1">
        <v>68.0</v>
      </c>
      <c r="H28" s="1">
        <v>68.0</v>
      </c>
      <c r="I28" s="7">
        <f t="shared" si="2"/>
        <v>0</v>
      </c>
      <c r="J28" s="1">
        <v>68.0</v>
      </c>
      <c r="K28" s="1">
        <v>68.0</v>
      </c>
      <c r="L28" s="7">
        <f t="shared" si="3"/>
        <v>0</v>
      </c>
      <c r="M28" s="8">
        <v>1.61</v>
      </c>
    </row>
    <row r="29">
      <c r="A29" s="1" t="s">
        <v>34</v>
      </c>
      <c r="B29" s="1">
        <v>84.0</v>
      </c>
      <c r="C29" s="1">
        <v>84.0</v>
      </c>
      <c r="D29" s="1">
        <v>84.0</v>
      </c>
      <c r="E29" s="7">
        <f t="shared" si="1"/>
        <v>0</v>
      </c>
      <c r="F29" s="8">
        <v>576.56</v>
      </c>
      <c r="G29" s="1">
        <v>84.0</v>
      </c>
      <c r="H29" s="1">
        <v>84.0</v>
      </c>
      <c r="I29" s="7">
        <f t="shared" si="2"/>
        <v>0</v>
      </c>
      <c r="J29" s="1">
        <v>84.0</v>
      </c>
      <c r="K29" s="1">
        <v>84.0</v>
      </c>
      <c r="L29" s="7">
        <f t="shared" si="3"/>
        <v>0</v>
      </c>
      <c r="M29" s="8">
        <v>5.73</v>
      </c>
    </row>
    <row r="30">
      <c r="A30" s="1" t="s">
        <v>35</v>
      </c>
      <c r="B30" s="1">
        <v>84.0</v>
      </c>
      <c r="C30" s="1">
        <v>84.0</v>
      </c>
      <c r="D30" s="1">
        <v>84.0</v>
      </c>
      <c r="E30" s="7">
        <f t="shared" si="1"/>
        <v>0</v>
      </c>
      <c r="F30" s="8">
        <v>1.8</v>
      </c>
      <c r="G30" s="1">
        <v>84.0</v>
      </c>
      <c r="H30" s="1">
        <v>84.0</v>
      </c>
      <c r="I30" s="7">
        <f t="shared" si="2"/>
        <v>0</v>
      </c>
      <c r="J30" s="1">
        <v>84.0</v>
      </c>
      <c r="K30" s="1">
        <v>84.0</v>
      </c>
      <c r="L30" s="7">
        <f t="shared" si="3"/>
        <v>0</v>
      </c>
      <c r="M30" s="8">
        <v>0.21</v>
      </c>
    </row>
    <row r="31">
      <c r="A31" s="1" t="s">
        <v>36</v>
      </c>
      <c r="B31" s="1">
        <v>116.0</v>
      </c>
      <c r="C31" s="1">
        <v>116.0</v>
      </c>
      <c r="D31" s="1">
        <v>116.0</v>
      </c>
      <c r="E31" s="7">
        <f t="shared" si="1"/>
        <v>0</v>
      </c>
      <c r="F31" s="8">
        <v>8.6</v>
      </c>
      <c r="G31" s="1">
        <v>116.0</v>
      </c>
      <c r="H31" s="1">
        <v>116.0</v>
      </c>
      <c r="I31" s="7">
        <f t="shared" si="2"/>
        <v>0</v>
      </c>
      <c r="J31" s="1">
        <v>116.0</v>
      </c>
      <c r="K31" s="1">
        <v>116.0</v>
      </c>
      <c r="L31" s="7">
        <f t="shared" si="3"/>
        <v>0</v>
      </c>
      <c r="M31" s="8">
        <v>0.89</v>
      </c>
    </row>
    <row r="32">
      <c r="A32" s="1" t="s">
        <v>37</v>
      </c>
      <c r="B32" s="1">
        <v>96.0</v>
      </c>
      <c r="C32" s="1">
        <v>96.0</v>
      </c>
      <c r="D32" s="1">
        <v>96.0</v>
      </c>
      <c r="E32" s="7">
        <f t="shared" si="1"/>
        <v>0</v>
      </c>
      <c r="F32" s="8">
        <v>3.22</v>
      </c>
      <c r="G32" s="1">
        <v>96.0</v>
      </c>
      <c r="H32" s="1">
        <v>96.0</v>
      </c>
      <c r="I32" s="7">
        <f t="shared" si="2"/>
        <v>0</v>
      </c>
      <c r="J32" s="1">
        <v>96.0</v>
      </c>
      <c r="K32" s="1">
        <v>96.0</v>
      </c>
      <c r="L32" s="7">
        <f t="shared" si="3"/>
        <v>0</v>
      </c>
      <c r="M32" s="8">
        <v>0.11</v>
      </c>
    </row>
    <row r="33">
      <c r="A33" s="1" t="s">
        <v>38</v>
      </c>
      <c r="B33" s="1">
        <v>116.0</v>
      </c>
      <c r="C33" s="1">
        <v>116.0</v>
      </c>
      <c r="D33" s="1">
        <v>128.0</v>
      </c>
      <c r="E33" s="7">
        <f t="shared" si="1"/>
        <v>0.09375</v>
      </c>
      <c r="F33" s="8">
        <v>3600.0</v>
      </c>
      <c r="G33" s="1">
        <v>116.0</v>
      </c>
      <c r="H33" s="1">
        <v>116.0</v>
      </c>
      <c r="I33" s="7">
        <f t="shared" si="2"/>
        <v>0</v>
      </c>
      <c r="J33" s="1">
        <v>116.0</v>
      </c>
      <c r="K33" s="1">
        <v>116.0</v>
      </c>
      <c r="L33" s="7">
        <f t="shared" si="3"/>
        <v>0</v>
      </c>
      <c r="M33" s="8">
        <v>41.26</v>
      </c>
    </row>
    <row r="34">
      <c r="A34" s="1" t="s">
        <v>39</v>
      </c>
      <c r="B34" s="1">
        <v>132.0</v>
      </c>
      <c r="C34" s="1">
        <v>132.0</v>
      </c>
      <c r="D34" s="1">
        <v>140.0</v>
      </c>
      <c r="E34" s="7">
        <f t="shared" si="1"/>
        <v>0.05714285714</v>
      </c>
      <c r="F34" s="8">
        <v>3600.0</v>
      </c>
      <c r="G34" s="1">
        <v>132.0</v>
      </c>
      <c r="H34" s="1">
        <v>132.0</v>
      </c>
      <c r="I34" s="7">
        <f t="shared" si="2"/>
        <v>0</v>
      </c>
      <c r="J34" s="1">
        <v>132.0</v>
      </c>
      <c r="K34" s="1">
        <v>132.0</v>
      </c>
      <c r="L34" s="7">
        <f t="shared" si="3"/>
        <v>0</v>
      </c>
      <c r="M34" s="8">
        <v>11.4</v>
      </c>
    </row>
    <row r="35">
      <c r="A35" s="1" t="s">
        <v>40</v>
      </c>
      <c r="B35" s="1">
        <v>124.0</v>
      </c>
      <c r="C35" s="1">
        <v>124.0</v>
      </c>
      <c r="D35" s="1">
        <v>132.0</v>
      </c>
      <c r="E35" s="7">
        <f t="shared" si="1"/>
        <v>0.06060606061</v>
      </c>
      <c r="F35" s="8">
        <v>3600.0</v>
      </c>
      <c r="G35" s="1">
        <v>124.0</v>
      </c>
      <c r="H35" s="1">
        <v>124.0</v>
      </c>
      <c r="I35" s="7">
        <f t="shared" si="2"/>
        <v>0</v>
      </c>
      <c r="J35" s="1">
        <v>124.0</v>
      </c>
      <c r="K35" s="1">
        <v>124.0</v>
      </c>
      <c r="L35" s="7">
        <f t="shared" si="3"/>
        <v>0</v>
      </c>
      <c r="M35" s="8">
        <v>5.71</v>
      </c>
    </row>
    <row r="36">
      <c r="A36" s="1" t="s">
        <v>41</v>
      </c>
      <c r="B36" s="1">
        <v>76.0</v>
      </c>
      <c r="C36" s="1">
        <v>73.0</v>
      </c>
      <c r="D36" s="1">
        <v>80.0</v>
      </c>
      <c r="E36" s="7">
        <f t="shared" si="1"/>
        <v>0.0875</v>
      </c>
      <c r="F36" s="8">
        <v>3600.0</v>
      </c>
      <c r="G36" s="1">
        <v>73.0</v>
      </c>
      <c r="H36" s="1">
        <v>76.0</v>
      </c>
      <c r="I36" s="7">
        <f t="shared" si="2"/>
        <v>0.03947368421</v>
      </c>
      <c r="J36" s="1">
        <v>73.0</v>
      </c>
      <c r="K36" s="1">
        <v>74.0</v>
      </c>
      <c r="L36" s="7">
        <f t="shared" si="3"/>
        <v>0.01351351351</v>
      </c>
      <c r="M36" s="8">
        <v>3600.0</v>
      </c>
    </row>
    <row r="37">
      <c r="A37" s="1" t="s">
        <v>42</v>
      </c>
      <c r="B37" s="1">
        <v>76.0</v>
      </c>
      <c r="C37" s="1">
        <v>76.0</v>
      </c>
      <c r="D37" s="1">
        <v>76.0</v>
      </c>
      <c r="E37" s="7">
        <f t="shared" si="1"/>
        <v>0</v>
      </c>
      <c r="F37" s="8">
        <v>3089.06</v>
      </c>
      <c r="G37" s="1">
        <v>76.0</v>
      </c>
      <c r="H37" s="1">
        <v>76.0</v>
      </c>
      <c r="I37" s="7">
        <f t="shared" si="2"/>
        <v>0</v>
      </c>
      <c r="J37" s="1">
        <v>76.0</v>
      </c>
      <c r="K37" s="1">
        <v>76.0</v>
      </c>
      <c r="L37" s="7">
        <f t="shared" si="3"/>
        <v>0</v>
      </c>
      <c r="M37" s="8">
        <v>11.69</v>
      </c>
    </row>
    <row r="38">
      <c r="A38" s="1" t="s">
        <v>43</v>
      </c>
      <c r="B38" s="1">
        <v>52.0</v>
      </c>
      <c r="C38" s="1">
        <v>52.0</v>
      </c>
      <c r="D38" s="1">
        <v>52.0</v>
      </c>
      <c r="E38" s="7">
        <f t="shared" si="1"/>
        <v>0</v>
      </c>
      <c r="F38" s="8">
        <v>379.86</v>
      </c>
      <c r="G38" s="1">
        <v>52.0</v>
      </c>
      <c r="H38" s="1">
        <v>52.0</v>
      </c>
      <c r="I38" s="7">
        <f t="shared" si="2"/>
        <v>0</v>
      </c>
      <c r="J38" s="1">
        <v>52.0</v>
      </c>
      <c r="K38" s="1">
        <v>52.0</v>
      </c>
      <c r="L38" s="7">
        <f t="shared" si="3"/>
        <v>0</v>
      </c>
      <c r="M38" s="8">
        <v>7.46</v>
      </c>
    </row>
    <row r="39">
      <c r="A39" s="1" t="s">
        <v>44</v>
      </c>
      <c r="B39" s="1">
        <v>104.0</v>
      </c>
      <c r="C39" s="1">
        <v>104.0</v>
      </c>
      <c r="D39" s="1">
        <v>144.0</v>
      </c>
      <c r="E39" s="7">
        <f t="shared" si="1"/>
        <v>0.2777777778</v>
      </c>
      <c r="F39" s="8">
        <v>59.21</v>
      </c>
      <c r="G39" s="1">
        <v>104.0</v>
      </c>
      <c r="H39" s="1">
        <v>104.0</v>
      </c>
      <c r="I39" s="7">
        <f t="shared" si="2"/>
        <v>0</v>
      </c>
      <c r="J39" s="1">
        <v>104.0</v>
      </c>
      <c r="K39" s="1">
        <v>104.0</v>
      </c>
      <c r="L39" s="7">
        <f t="shared" si="3"/>
        <v>0</v>
      </c>
      <c r="M39" s="8">
        <v>17.97</v>
      </c>
    </row>
    <row r="40">
      <c r="A40" s="1" t="s">
        <v>45</v>
      </c>
      <c r="B40" s="1">
        <v>64.0</v>
      </c>
      <c r="C40" s="1">
        <v>64.0</v>
      </c>
      <c r="D40" s="1">
        <v>64.0</v>
      </c>
      <c r="E40" s="7">
        <f t="shared" si="1"/>
        <v>0</v>
      </c>
      <c r="F40" s="8">
        <v>3600.0</v>
      </c>
      <c r="G40" s="1">
        <v>64.0</v>
      </c>
      <c r="H40" s="1">
        <v>64.0</v>
      </c>
      <c r="I40" s="7">
        <f t="shared" si="2"/>
        <v>0</v>
      </c>
      <c r="J40" s="1">
        <v>64.0</v>
      </c>
      <c r="K40" s="1">
        <v>64.0</v>
      </c>
      <c r="L40" s="7">
        <f t="shared" si="3"/>
        <v>0</v>
      </c>
      <c r="M40" s="8">
        <v>3.21</v>
      </c>
    </row>
    <row r="41">
      <c r="A41" s="1" t="s">
        <v>46</v>
      </c>
      <c r="B41" s="1">
        <v>108.0</v>
      </c>
      <c r="C41" s="1">
        <v>108.0</v>
      </c>
      <c r="D41" s="1">
        <v>108.0</v>
      </c>
      <c r="E41" s="7">
        <f t="shared" si="1"/>
        <v>0</v>
      </c>
      <c r="F41" s="8">
        <v>92.47</v>
      </c>
      <c r="G41" s="1">
        <v>108.0</v>
      </c>
      <c r="H41" s="1">
        <v>108.0</v>
      </c>
      <c r="I41" s="7">
        <f t="shared" si="2"/>
        <v>0</v>
      </c>
      <c r="J41" s="1">
        <v>108.0</v>
      </c>
      <c r="K41" s="1">
        <v>108.0</v>
      </c>
      <c r="L41" s="7">
        <f t="shared" si="3"/>
        <v>0</v>
      </c>
      <c r="M41" s="8">
        <v>2.55</v>
      </c>
    </row>
    <row r="42">
      <c r="A42" s="1" t="s">
        <v>47</v>
      </c>
      <c r="B42" s="1">
        <v>124.0</v>
      </c>
      <c r="C42" s="1">
        <v>120.0</v>
      </c>
      <c r="D42" s="1">
        <v>164.0</v>
      </c>
      <c r="E42" s="7">
        <f t="shared" si="1"/>
        <v>0.2682926829</v>
      </c>
      <c r="F42" s="8">
        <v>3600.0</v>
      </c>
      <c r="G42" s="1">
        <v>120.0</v>
      </c>
      <c r="H42" s="1">
        <v>124.0</v>
      </c>
      <c r="I42" s="7">
        <f t="shared" si="2"/>
        <v>0.03225806452</v>
      </c>
      <c r="J42" s="1">
        <v>120.0</v>
      </c>
      <c r="K42" s="1">
        <v>120.0</v>
      </c>
      <c r="L42" s="7">
        <f t="shared" si="3"/>
        <v>0</v>
      </c>
      <c r="M42" s="8">
        <v>6.76</v>
      </c>
    </row>
    <row r="43">
      <c r="A43" s="1" t="s">
        <v>48</v>
      </c>
      <c r="B43" s="1">
        <v>100.0</v>
      </c>
      <c r="C43" s="1">
        <v>98.0</v>
      </c>
      <c r="D43" s="1">
        <v>164.0</v>
      </c>
      <c r="E43" s="7">
        <f t="shared" si="1"/>
        <v>0.4024390244</v>
      </c>
      <c r="F43" s="8">
        <v>3600.0</v>
      </c>
      <c r="G43" s="1">
        <v>98.0</v>
      </c>
      <c r="H43" s="1">
        <v>100.0</v>
      </c>
      <c r="I43" s="7">
        <f t="shared" si="2"/>
        <v>0.02</v>
      </c>
      <c r="J43" s="1">
        <v>99.0</v>
      </c>
      <c r="K43" s="1">
        <v>99.0</v>
      </c>
      <c r="L43" s="7">
        <f t="shared" si="3"/>
        <v>0</v>
      </c>
      <c r="M43" s="8">
        <v>636.5</v>
      </c>
    </row>
    <row r="44">
      <c r="A44" s="1" t="s">
        <v>49</v>
      </c>
      <c r="B44" s="1">
        <v>120.0</v>
      </c>
      <c r="C44" s="1">
        <v>114.0</v>
      </c>
      <c r="D44" s="1">
        <v>180.0</v>
      </c>
      <c r="E44" s="7">
        <f t="shared" si="1"/>
        <v>0.3666666667</v>
      </c>
      <c r="F44" s="8">
        <v>3600.0</v>
      </c>
      <c r="G44" s="1">
        <v>114.0</v>
      </c>
      <c r="H44" s="1">
        <v>120.0</v>
      </c>
      <c r="I44" s="7">
        <f t="shared" si="2"/>
        <v>0.05</v>
      </c>
      <c r="J44" s="1">
        <v>116.0</v>
      </c>
      <c r="K44" s="1">
        <v>116.0</v>
      </c>
      <c r="L44" s="7">
        <f t="shared" si="3"/>
        <v>0</v>
      </c>
      <c r="M44" s="8">
        <v>41.26</v>
      </c>
    </row>
    <row r="45">
      <c r="A45" s="1" t="s">
        <v>50</v>
      </c>
      <c r="B45" s="1">
        <v>124.0</v>
      </c>
      <c r="C45" s="1">
        <v>120.0</v>
      </c>
      <c r="D45" s="1">
        <v>164.0</v>
      </c>
      <c r="E45" s="7">
        <f t="shared" si="1"/>
        <v>0.2682926829</v>
      </c>
      <c r="F45" s="8">
        <v>3600.0</v>
      </c>
      <c r="G45" s="1">
        <v>120.0</v>
      </c>
      <c r="H45" s="1">
        <v>124.0</v>
      </c>
      <c r="I45" s="7">
        <f t="shared" si="2"/>
        <v>0.03225806452</v>
      </c>
      <c r="J45" s="1">
        <v>120.0</v>
      </c>
      <c r="K45" s="1">
        <v>120.0</v>
      </c>
      <c r="L45" s="7">
        <f t="shared" si="3"/>
        <v>0</v>
      </c>
      <c r="M45" s="8">
        <v>101.1</v>
      </c>
    </row>
    <row r="46">
      <c r="A46" s="1" t="s">
        <v>51</v>
      </c>
      <c r="B46" s="1">
        <v>120.0</v>
      </c>
      <c r="C46" s="1">
        <v>109.0</v>
      </c>
      <c r="D46" s="1">
        <v>132.0</v>
      </c>
      <c r="E46" s="7">
        <f t="shared" si="1"/>
        <v>0.1742424242</v>
      </c>
      <c r="F46" s="8">
        <v>3600.0</v>
      </c>
      <c r="G46" s="1">
        <v>109.0</v>
      </c>
      <c r="H46" s="1">
        <v>120.0</v>
      </c>
      <c r="I46" s="7">
        <f t="shared" si="2"/>
        <v>0.09166666667</v>
      </c>
      <c r="J46" s="1">
        <v>112.0</v>
      </c>
      <c r="K46" s="1">
        <v>112.0</v>
      </c>
      <c r="L46" s="7">
        <f t="shared" si="3"/>
        <v>0</v>
      </c>
      <c r="M46" s="8">
        <v>125.26</v>
      </c>
    </row>
    <row r="47">
      <c r="A47" s="1" t="s">
        <v>52</v>
      </c>
      <c r="B47" s="1">
        <v>136.0</v>
      </c>
      <c r="C47" s="1">
        <v>134.0</v>
      </c>
      <c r="D47" s="1">
        <v>188.0</v>
      </c>
      <c r="E47" s="7">
        <f t="shared" si="1"/>
        <v>0.2872340426</v>
      </c>
      <c r="F47" s="8">
        <v>3600.0</v>
      </c>
      <c r="G47" s="1">
        <v>134.0</v>
      </c>
      <c r="H47" s="1">
        <v>136.0</v>
      </c>
      <c r="I47" s="7">
        <f t="shared" si="2"/>
        <v>0.01470588235</v>
      </c>
      <c r="J47" s="1">
        <v>135.0</v>
      </c>
      <c r="K47" s="1">
        <v>135.0</v>
      </c>
      <c r="L47" s="7">
        <f t="shared" si="3"/>
        <v>0</v>
      </c>
      <c r="M47" s="8">
        <v>162.86</v>
      </c>
    </row>
    <row r="48">
      <c r="A48" s="1" t="s">
        <v>53</v>
      </c>
      <c r="B48" s="1">
        <v>96.0</v>
      </c>
      <c r="C48" s="1">
        <v>94.0</v>
      </c>
      <c r="D48" s="1">
        <v>148.0</v>
      </c>
      <c r="E48" s="7">
        <f t="shared" si="1"/>
        <v>0.3648648649</v>
      </c>
      <c r="F48" s="8">
        <v>3600.0</v>
      </c>
      <c r="G48" s="1">
        <v>94.0</v>
      </c>
      <c r="H48" s="1">
        <v>96.0</v>
      </c>
      <c r="I48" s="7">
        <f t="shared" si="2"/>
        <v>0.02083333333</v>
      </c>
      <c r="J48" s="1">
        <v>96.0</v>
      </c>
      <c r="K48" s="1">
        <v>96.0</v>
      </c>
      <c r="L48" s="7">
        <f t="shared" si="3"/>
        <v>0</v>
      </c>
      <c r="M48" s="8">
        <v>769.22</v>
      </c>
    </row>
    <row r="49">
      <c r="A49" s="1" t="s">
        <v>54</v>
      </c>
      <c r="B49" s="1">
        <v>124.0</v>
      </c>
      <c r="C49" s="1">
        <v>121.0</v>
      </c>
      <c r="D49" s="1">
        <v>160.0</v>
      </c>
      <c r="E49" s="7">
        <f t="shared" si="1"/>
        <v>0.24375</v>
      </c>
      <c r="F49" s="8">
        <v>3600.0</v>
      </c>
      <c r="G49" s="1">
        <v>121.0</v>
      </c>
      <c r="H49" s="1">
        <v>124.0</v>
      </c>
      <c r="I49" s="7">
        <f t="shared" si="2"/>
        <v>0.02419354839</v>
      </c>
      <c r="J49" s="1">
        <v>121.0</v>
      </c>
      <c r="K49" s="1">
        <v>121.0</v>
      </c>
      <c r="L49" s="7">
        <f t="shared" si="3"/>
        <v>0</v>
      </c>
      <c r="M49" s="8">
        <v>808.56</v>
      </c>
    </row>
    <row r="50">
      <c r="A50" s="1" t="s">
        <v>55</v>
      </c>
      <c r="B50" s="1">
        <v>144.0</v>
      </c>
      <c r="C50" s="1">
        <v>136.0</v>
      </c>
      <c r="D50" s="1">
        <v>188.0</v>
      </c>
      <c r="E50" s="7">
        <f t="shared" si="1"/>
        <v>0.2765957447</v>
      </c>
      <c r="F50" s="8">
        <v>3600.0</v>
      </c>
      <c r="G50" s="1">
        <v>136.0</v>
      </c>
      <c r="H50" s="1">
        <v>144.0</v>
      </c>
      <c r="I50" s="7">
        <f t="shared" si="2"/>
        <v>0.05555555556</v>
      </c>
      <c r="J50" s="1">
        <v>136.0</v>
      </c>
      <c r="K50" s="1">
        <v>136.0</v>
      </c>
      <c r="L50" s="7">
        <f t="shared" si="3"/>
        <v>0</v>
      </c>
      <c r="M50" s="8">
        <v>232.42</v>
      </c>
    </row>
    <row r="51">
      <c r="A51" s="1" t="s">
        <v>56</v>
      </c>
      <c r="B51" s="1">
        <v>160.0</v>
      </c>
      <c r="C51" s="1">
        <v>151.0</v>
      </c>
      <c r="D51" s="1">
        <v>216.0</v>
      </c>
      <c r="E51" s="7">
        <f t="shared" si="1"/>
        <v>0.3009259259</v>
      </c>
      <c r="F51" s="8">
        <v>3600.0</v>
      </c>
      <c r="G51" s="1">
        <v>151.0</v>
      </c>
      <c r="H51" s="1">
        <v>160.0</v>
      </c>
      <c r="I51" s="7">
        <f t="shared" si="2"/>
        <v>0.05625</v>
      </c>
      <c r="J51" s="1">
        <v>152.0</v>
      </c>
      <c r="K51" s="1">
        <v>152.0</v>
      </c>
      <c r="L51" s="7">
        <f t="shared" si="3"/>
        <v>0</v>
      </c>
      <c r="M51" s="8">
        <v>141.05</v>
      </c>
    </row>
    <row r="52">
      <c r="A52" s="1" t="s">
        <v>57</v>
      </c>
      <c r="B52" s="1">
        <v>128.0</v>
      </c>
      <c r="C52" s="1">
        <v>122.0</v>
      </c>
      <c r="D52" s="1">
        <v>204.0</v>
      </c>
      <c r="E52" s="7">
        <f t="shared" si="1"/>
        <v>0.4019607843</v>
      </c>
      <c r="F52" s="8">
        <v>3600.0</v>
      </c>
      <c r="G52" s="1">
        <v>122.0</v>
      </c>
      <c r="H52" s="1">
        <v>128.0</v>
      </c>
      <c r="I52" s="7">
        <f t="shared" si="2"/>
        <v>0.046875</v>
      </c>
      <c r="J52" s="1">
        <v>124.0</v>
      </c>
      <c r="K52" s="1">
        <v>124.0</v>
      </c>
      <c r="L52" s="7">
        <f t="shared" si="3"/>
        <v>0</v>
      </c>
      <c r="M52" s="8">
        <v>132.4</v>
      </c>
    </row>
    <row r="53">
      <c r="A53" s="1" t="s">
        <v>58</v>
      </c>
      <c r="B53" s="1">
        <v>72.0</v>
      </c>
      <c r="C53" s="1">
        <v>68.0</v>
      </c>
      <c r="D53" s="1">
        <v>72.0</v>
      </c>
      <c r="E53" s="7">
        <f t="shared" si="1"/>
        <v>0.05555555556</v>
      </c>
      <c r="F53" s="8">
        <v>3600.0</v>
      </c>
      <c r="G53" s="1">
        <v>68.0</v>
      </c>
      <c r="H53" s="1">
        <v>72.0</v>
      </c>
      <c r="I53" s="7">
        <f t="shared" si="2"/>
        <v>0.05555555556</v>
      </c>
      <c r="J53" s="1">
        <v>68.0</v>
      </c>
      <c r="K53" s="1">
        <v>68.0</v>
      </c>
      <c r="L53" s="7">
        <f t="shared" si="3"/>
        <v>0</v>
      </c>
      <c r="M53" s="8">
        <v>27.25</v>
      </c>
    </row>
    <row r="54">
      <c r="A54" s="1" t="s">
        <v>59</v>
      </c>
      <c r="B54" s="1">
        <v>164.0</v>
      </c>
      <c r="C54" s="1">
        <v>140.0</v>
      </c>
      <c r="D54" s="1">
        <v>312.0</v>
      </c>
      <c r="E54" s="7">
        <f t="shared" si="1"/>
        <v>0.5512820513</v>
      </c>
      <c r="F54" s="8">
        <v>3600.0</v>
      </c>
      <c r="G54" s="1">
        <v>140.0</v>
      </c>
      <c r="H54" s="1">
        <v>164.0</v>
      </c>
      <c r="I54" s="7">
        <f t="shared" si="2"/>
        <v>0.1463414634</v>
      </c>
      <c r="J54" s="1">
        <v>156.0</v>
      </c>
      <c r="K54" s="1">
        <v>160.0</v>
      </c>
      <c r="L54" s="7">
        <f t="shared" si="3"/>
        <v>0.025</v>
      </c>
      <c r="M54" s="8">
        <v>3600.0</v>
      </c>
    </row>
    <row r="55">
      <c r="A55" s="1" t="s">
        <v>60</v>
      </c>
      <c r="B55" s="1">
        <v>188.0</v>
      </c>
      <c r="C55" s="1">
        <v>160.0</v>
      </c>
      <c r="D55" s="1">
        <v>304.0</v>
      </c>
      <c r="E55" s="7">
        <f t="shared" si="1"/>
        <v>0.4736842105</v>
      </c>
      <c r="F55" s="8">
        <v>3600.0</v>
      </c>
      <c r="G55" s="1">
        <v>160.0</v>
      </c>
      <c r="H55" s="1">
        <v>188.0</v>
      </c>
      <c r="I55" s="7">
        <f t="shared" si="2"/>
        <v>0.1489361702</v>
      </c>
      <c r="J55" s="1">
        <v>179.0</v>
      </c>
      <c r="K55" s="1">
        <v>180.0</v>
      </c>
      <c r="L55" s="7">
        <f t="shared" si="3"/>
        <v>0.005555555556</v>
      </c>
      <c r="M55" s="8">
        <v>3600.0</v>
      </c>
    </row>
    <row r="56">
      <c r="A56" s="1" t="s">
        <v>61</v>
      </c>
      <c r="B56" s="1">
        <v>133.0</v>
      </c>
      <c r="C56" s="1">
        <v>115.0</v>
      </c>
      <c r="D56" s="1">
        <v>208.0</v>
      </c>
      <c r="E56" s="7">
        <f t="shared" si="1"/>
        <v>0.4471153846</v>
      </c>
      <c r="F56" s="8">
        <v>3600.0</v>
      </c>
      <c r="G56" s="1">
        <v>115.0</v>
      </c>
      <c r="H56" s="1">
        <v>133.0</v>
      </c>
      <c r="I56" s="7">
        <f t="shared" si="2"/>
        <v>0.1353383459</v>
      </c>
      <c r="J56" s="1">
        <v>130.0</v>
      </c>
      <c r="K56" s="1">
        <v>130.0</v>
      </c>
      <c r="L56" s="7">
        <f t="shared" si="3"/>
        <v>0</v>
      </c>
      <c r="M56" s="8">
        <v>1685.77</v>
      </c>
    </row>
    <row r="57">
      <c r="A57" s="1" t="s">
        <v>62</v>
      </c>
      <c r="B57" s="1">
        <v>164.0</v>
      </c>
      <c r="C57" s="1">
        <v>141.0</v>
      </c>
      <c r="D57" s="1">
        <v>280.0</v>
      </c>
      <c r="E57" s="7">
        <f t="shared" si="1"/>
        <v>0.4964285714</v>
      </c>
      <c r="F57" s="8">
        <v>3600.0</v>
      </c>
      <c r="G57" s="1">
        <v>141.0</v>
      </c>
      <c r="H57" s="1">
        <v>164.0</v>
      </c>
      <c r="I57" s="7">
        <f t="shared" si="2"/>
        <v>0.1402439024</v>
      </c>
      <c r="J57" s="1">
        <v>160.0</v>
      </c>
      <c r="K57" s="1">
        <v>160.0</v>
      </c>
      <c r="L57" s="7">
        <f t="shared" si="3"/>
        <v>0</v>
      </c>
      <c r="M57" s="8">
        <v>1356.87</v>
      </c>
    </row>
    <row r="58">
      <c r="A58" s="1" t="s">
        <v>63</v>
      </c>
      <c r="B58" s="1">
        <v>224.0</v>
      </c>
      <c r="C58" s="1">
        <v>199.0</v>
      </c>
      <c r="D58" s="1">
        <v>348.0</v>
      </c>
      <c r="E58" s="7">
        <f t="shared" si="1"/>
        <v>0.4281609195</v>
      </c>
      <c r="F58" s="8">
        <v>3600.0</v>
      </c>
      <c r="G58" s="1">
        <v>199.0</v>
      </c>
      <c r="H58" s="1">
        <v>224.0</v>
      </c>
      <c r="I58" s="7">
        <f t="shared" si="2"/>
        <v>0.1116071429</v>
      </c>
      <c r="J58" s="1">
        <v>215.0</v>
      </c>
      <c r="K58" s="1">
        <v>216.0</v>
      </c>
      <c r="L58" s="7">
        <f t="shared" si="3"/>
        <v>0.00462962963</v>
      </c>
      <c r="M58" s="8">
        <v>3600.0</v>
      </c>
    </row>
    <row r="59">
      <c r="A59" s="1" t="s">
        <v>64</v>
      </c>
      <c r="B59" s="1">
        <v>96.0</v>
      </c>
      <c r="C59" s="1">
        <v>96.0</v>
      </c>
      <c r="D59" s="1">
        <v>96.0</v>
      </c>
      <c r="E59" s="7">
        <f t="shared" si="1"/>
        <v>0</v>
      </c>
      <c r="F59" s="8">
        <v>622.29</v>
      </c>
      <c r="G59" s="1">
        <v>96.0</v>
      </c>
      <c r="H59" s="1">
        <v>96.0</v>
      </c>
      <c r="I59" s="7">
        <f t="shared" si="2"/>
        <v>0</v>
      </c>
      <c r="J59" s="1">
        <v>96.0</v>
      </c>
      <c r="K59" s="1">
        <v>96.0</v>
      </c>
      <c r="L59" s="7">
        <f t="shared" si="3"/>
        <v>0</v>
      </c>
      <c r="M59" s="8">
        <v>24.99</v>
      </c>
    </row>
    <row r="60">
      <c r="A60" s="1" t="s">
        <v>65</v>
      </c>
      <c r="B60" s="1">
        <v>196.0</v>
      </c>
      <c r="C60" s="1">
        <v>167.0</v>
      </c>
      <c r="D60" s="1">
        <v>288.0</v>
      </c>
      <c r="E60" s="7">
        <f t="shared" si="1"/>
        <v>0.4201388889</v>
      </c>
      <c r="F60" s="8">
        <v>3600.0</v>
      </c>
      <c r="G60" s="1">
        <v>167.0</v>
      </c>
      <c r="H60" s="1">
        <v>196.0</v>
      </c>
      <c r="I60" s="7">
        <f t="shared" si="2"/>
        <v>0.1479591837</v>
      </c>
      <c r="J60" s="1">
        <v>188.0</v>
      </c>
      <c r="K60" s="1">
        <v>188.0</v>
      </c>
      <c r="L60" s="7">
        <f t="shared" si="3"/>
        <v>0</v>
      </c>
      <c r="M60" s="8">
        <v>114.95</v>
      </c>
    </row>
    <row r="61">
      <c r="A61" s="1" t="s">
        <v>66</v>
      </c>
      <c r="B61" s="1">
        <v>64.0</v>
      </c>
      <c r="C61" s="1">
        <v>64.0</v>
      </c>
      <c r="D61" s="1">
        <v>68.0</v>
      </c>
      <c r="E61" s="7">
        <f t="shared" si="1"/>
        <v>0.05882352941</v>
      </c>
      <c r="F61" s="8">
        <v>3600.0</v>
      </c>
      <c r="G61" s="1">
        <v>64.0</v>
      </c>
      <c r="H61" s="1">
        <v>64.0</v>
      </c>
      <c r="I61" s="7">
        <f t="shared" si="2"/>
        <v>0</v>
      </c>
      <c r="J61" s="1">
        <v>64.0</v>
      </c>
      <c r="K61" s="1">
        <v>64.0</v>
      </c>
      <c r="L61" s="7">
        <f t="shared" si="3"/>
        <v>0</v>
      </c>
      <c r="M61" s="8">
        <v>48.57</v>
      </c>
    </row>
    <row r="62">
      <c r="A62" s="1" t="s">
        <v>67</v>
      </c>
      <c r="B62" s="1">
        <v>212.0</v>
      </c>
      <c r="C62" s="1">
        <v>162.0</v>
      </c>
      <c r="D62" s="1">
        <v>328.0</v>
      </c>
      <c r="E62" s="7">
        <f t="shared" si="1"/>
        <v>0.506097561</v>
      </c>
      <c r="F62" s="8">
        <v>3600.0</v>
      </c>
      <c r="G62" s="1">
        <v>162.0</v>
      </c>
      <c r="H62" s="1">
        <v>212.0</v>
      </c>
      <c r="I62" s="7">
        <f t="shared" si="2"/>
        <v>0.2358490566</v>
      </c>
      <c r="J62" s="1">
        <v>200.0</v>
      </c>
      <c r="K62" s="1">
        <v>200.0</v>
      </c>
      <c r="L62" s="7">
        <f t="shared" si="3"/>
        <v>0</v>
      </c>
      <c r="M62" s="8">
        <v>543.18</v>
      </c>
    </row>
    <row r="63">
      <c r="C63" s="7"/>
      <c r="E63" s="7"/>
      <c r="F63" s="3"/>
      <c r="I63" s="7"/>
      <c r="L63" s="7"/>
      <c r="M63" s="3"/>
    </row>
    <row r="64">
      <c r="C64" s="7"/>
      <c r="E64" s="7"/>
      <c r="F64" s="3"/>
      <c r="I64" s="7"/>
      <c r="L64" s="7"/>
      <c r="M64" s="3"/>
    </row>
    <row r="65">
      <c r="F65" s="3"/>
      <c r="L65" s="7"/>
      <c r="M65" s="3"/>
    </row>
    <row r="66">
      <c r="C66" s="7"/>
      <c r="E66" s="7"/>
      <c r="F66" s="3"/>
      <c r="I66" s="7"/>
      <c r="L66" s="7"/>
      <c r="M66" s="3"/>
    </row>
    <row r="67">
      <c r="C67" s="7"/>
      <c r="E67" s="7"/>
      <c r="F67" s="3"/>
      <c r="I67" s="7"/>
      <c r="L67" s="7"/>
      <c r="M67" s="3"/>
    </row>
    <row r="68">
      <c r="C68" s="7"/>
      <c r="E68" s="7"/>
      <c r="F68" s="3"/>
      <c r="I68" s="7"/>
      <c r="L68" s="7"/>
      <c r="M68" s="3"/>
    </row>
    <row r="69">
      <c r="C69" s="7"/>
      <c r="E69" s="7"/>
      <c r="F69" s="3"/>
      <c r="I69" s="7"/>
      <c r="L69" s="7"/>
      <c r="M69" s="3"/>
    </row>
    <row r="70">
      <c r="C70" s="7"/>
      <c r="E70" s="7"/>
      <c r="F70" s="3"/>
      <c r="I70" s="7"/>
      <c r="L70" s="7"/>
      <c r="M70" s="3"/>
    </row>
    <row r="71">
      <c r="C71" s="7"/>
      <c r="E71" s="7"/>
      <c r="F71" s="3"/>
      <c r="I71" s="7"/>
      <c r="L71" s="7"/>
      <c r="M71" s="3"/>
    </row>
    <row r="72">
      <c r="C72" s="7"/>
      <c r="E72" s="7"/>
      <c r="F72" s="3"/>
      <c r="I72" s="7"/>
      <c r="L72" s="7"/>
      <c r="M72" s="3"/>
    </row>
    <row r="73">
      <c r="C73" s="7"/>
      <c r="E73" s="7"/>
      <c r="F73" s="3"/>
      <c r="I73" s="7"/>
      <c r="L73" s="7"/>
      <c r="M73" s="3"/>
    </row>
    <row r="74">
      <c r="C74" s="7"/>
      <c r="E74" s="7"/>
      <c r="F74" s="3"/>
      <c r="I74" s="7"/>
      <c r="L74" s="7"/>
      <c r="M74" s="3"/>
    </row>
    <row r="75">
      <c r="C75" s="7"/>
      <c r="E75" s="7"/>
      <c r="F75" s="3"/>
      <c r="I75" s="7"/>
      <c r="L75" s="7"/>
      <c r="M75" s="3"/>
    </row>
    <row r="76">
      <c r="C76" s="7"/>
      <c r="E76" s="7"/>
      <c r="F76" s="3"/>
      <c r="I76" s="7"/>
      <c r="L76" s="7"/>
      <c r="M76" s="3"/>
    </row>
    <row r="77">
      <c r="C77" s="7"/>
      <c r="E77" s="7"/>
      <c r="F77" s="3"/>
      <c r="I77" s="7"/>
      <c r="L77" s="7"/>
      <c r="M77" s="3"/>
    </row>
    <row r="78">
      <c r="C78" s="7"/>
      <c r="E78" s="7"/>
      <c r="F78" s="3"/>
      <c r="I78" s="7"/>
      <c r="L78" s="7"/>
      <c r="M78" s="3"/>
    </row>
    <row r="79">
      <c r="C79" s="7"/>
      <c r="E79" s="7"/>
      <c r="F79" s="3"/>
      <c r="I79" s="7"/>
      <c r="L79" s="7"/>
      <c r="M79" s="3"/>
    </row>
    <row r="80">
      <c r="C80" s="7"/>
      <c r="E80" s="7"/>
      <c r="F80" s="3"/>
      <c r="I80" s="7"/>
      <c r="L80" s="7"/>
      <c r="M80" s="3"/>
    </row>
    <row r="81">
      <c r="C81" s="7"/>
      <c r="E81" s="7"/>
      <c r="F81" s="3"/>
      <c r="I81" s="7"/>
      <c r="L81" s="7"/>
      <c r="M81" s="3"/>
    </row>
    <row r="82">
      <c r="C82" s="7"/>
      <c r="E82" s="7"/>
      <c r="F82" s="3"/>
      <c r="I82" s="7"/>
      <c r="L82" s="7"/>
      <c r="M82" s="3"/>
    </row>
    <row r="83">
      <c r="C83" s="7"/>
      <c r="E83" s="7"/>
      <c r="F83" s="3"/>
      <c r="I83" s="7"/>
      <c r="L83" s="7"/>
      <c r="M83" s="3"/>
    </row>
    <row r="84">
      <c r="C84" s="7"/>
      <c r="E84" s="7"/>
      <c r="F84" s="3"/>
      <c r="I84" s="7"/>
      <c r="L84" s="7"/>
      <c r="M84" s="3"/>
    </row>
    <row r="85">
      <c r="C85" s="7"/>
      <c r="E85" s="7"/>
      <c r="F85" s="3"/>
      <c r="I85" s="7"/>
      <c r="L85" s="7"/>
      <c r="M85" s="3"/>
    </row>
    <row r="86">
      <c r="C86" s="7"/>
      <c r="E86" s="7"/>
      <c r="F86" s="3"/>
      <c r="I86" s="7"/>
      <c r="L86" s="7"/>
      <c r="M86" s="3"/>
    </row>
    <row r="87">
      <c r="C87" s="7"/>
      <c r="E87" s="7"/>
      <c r="F87" s="3"/>
      <c r="I87" s="7"/>
      <c r="L87" s="7"/>
      <c r="M87" s="3"/>
    </row>
    <row r="88">
      <c r="C88" s="7"/>
      <c r="E88" s="7"/>
      <c r="F88" s="3"/>
      <c r="I88" s="7"/>
      <c r="L88" s="7"/>
      <c r="M88" s="3"/>
    </row>
    <row r="89">
      <c r="C89" s="7"/>
      <c r="E89" s="7"/>
      <c r="F89" s="3"/>
      <c r="I89" s="7"/>
      <c r="L89" s="7"/>
      <c r="M89" s="3"/>
    </row>
    <row r="90">
      <c r="C90" s="7"/>
      <c r="E90" s="7"/>
      <c r="F90" s="3"/>
      <c r="I90" s="7"/>
      <c r="L90" s="7"/>
      <c r="M90" s="3"/>
    </row>
    <row r="91">
      <c r="C91" s="7"/>
      <c r="E91" s="7"/>
      <c r="F91" s="3"/>
      <c r="I91" s="7"/>
      <c r="L91" s="7"/>
      <c r="M91" s="3"/>
    </row>
    <row r="92">
      <c r="C92" s="7"/>
      <c r="E92" s="7"/>
      <c r="F92" s="3"/>
      <c r="I92" s="7"/>
      <c r="L92" s="7"/>
      <c r="M92" s="3"/>
    </row>
    <row r="93">
      <c r="C93" s="7"/>
      <c r="E93" s="7"/>
      <c r="F93" s="3"/>
      <c r="I93" s="7"/>
      <c r="L93" s="7"/>
      <c r="M93" s="3"/>
    </row>
    <row r="94">
      <c r="C94" s="7"/>
      <c r="E94" s="7"/>
      <c r="F94" s="3"/>
      <c r="I94" s="7"/>
      <c r="L94" s="7"/>
      <c r="M94" s="3"/>
    </row>
    <row r="95">
      <c r="C95" s="7"/>
      <c r="E95" s="7"/>
      <c r="F95" s="3"/>
      <c r="I95" s="7"/>
      <c r="L95" s="7"/>
      <c r="M95" s="3"/>
    </row>
    <row r="96">
      <c r="C96" s="7"/>
      <c r="E96" s="7"/>
      <c r="F96" s="3"/>
      <c r="I96" s="7"/>
      <c r="L96" s="7"/>
      <c r="M96" s="3"/>
    </row>
    <row r="97">
      <c r="C97" s="7"/>
      <c r="E97" s="7"/>
      <c r="F97" s="3"/>
      <c r="I97" s="7"/>
      <c r="L97" s="7"/>
      <c r="M97" s="3"/>
    </row>
    <row r="98">
      <c r="C98" s="7"/>
      <c r="E98" s="7"/>
      <c r="F98" s="3"/>
      <c r="I98" s="7"/>
      <c r="L98" s="7"/>
      <c r="M98" s="3"/>
    </row>
    <row r="99">
      <c r="C99" s="7"/>
      <c r="E99" s="7"/>
      <c r="F99" s="3"/>
      <c r="I99" s="7"/>
      <c r="L99" s="7"/>
      <c r="M99" s="3"/>
    </row>
    <row r="100">
      <c r="C100" s="7"/>
      <c r="E100" s="7"/>
      <c r="F100" s="3"/>
      <c r="I100" s="7"/>
      <c r="L100" s="7"/>
      <c r="M100" s="3"/>
    </row>
    <row r="101">
      <c r="C101" s="7"/>
      <c r="E101" s="7"/>
      <c r="F101" s="3"/>
      <c r="I101" s="7"/>
      <c r="L101" s="7"/>
      <c r="M101" s="3"/>
    </row>
    <row r="102">
      <c r="C102" s="7"/>
      <c r="E102" s="7"/>
      <c r="F102" s="3"/>
      <c r="I102" s="7"/>
      <c r="L102" s="7"/>
      <c r="M102" s="3"/>
    </row>
    <row r="103">
      <c r="C103" s="7"/>
      <c r="E103" s="7"/>
      <c r="F103" s="3"/>
      <c r="I103" s="7"/>
      <c r="L103" s="7"/>
      <c r="M103" s="3"/>
    </row>
    <row r="104">
      <c r="C104" s="7"/>
      <c r="E104" s="7"/>
      <c r="F104" s="3"/>
      <c r="I104" s="7"/>
      <c r="L104" s="7"/>
      <c r="M104" s="3"/>
    </row>
    <row r="105">
      <c r="C105" s="7"/>
      <c r="E105" s="7"/>
      <c r="F105" s="3"/>
      <c r="I105" s="7"/>
      <c r="L105" s="7"/>
      <c r="M105" s="3"/>
    </row>
    <row r="106">
      <c r="C106" s="7"/>
      <c r="E106" s="7"/>
      <c r="F106" s="3"/>
      <c r="I106" s="7"/>
      <c r="L106" s="7"/>
      <c r="M106" s="3"/>
    </row>
    <row r="107">
      <c r="C107" s="7"/>
      <c r="E107" s="7"/>
      <c r="F107" s="3"/>
      <c r="I107" s="7"/>
      <c r="L107" s="7"/>
      <c r="M107" s="3"/>
    </row>
    <row r="108">
      <c r="C108" s="7"/>
      <c r="E108" s="7"/>
      <c r="F108" s="3"/>
      <c r="I108" s="7"/>
      <c r="L108" s="7"/>
      <c r="M108" s="3"/>
    </row>
    <row r="109">
      <c r="C109" s="7"/>
      <c r="E109" s="7"/>
      <c r="F109" s="3"/>
      <c r="I109" s="7"/>
      <c r="L109" s="7"/>
      <c r="M109" s="3"/>
    </row>
    <row r="110">
      <c r="C110" s="7"/>
      <c r="E110" s="7"/>
      <c r="F110" s="3"/>
      <c r="I110" s="7"/>
      <c r="L110" s="7"/>
      <c r="M110" s="3"/>
    </row>
    <row r="111">
      <c r="C111" s="7"/>
      <c r="E111" s="7"/>
      <c r="F111" s="3"/>
      <c r="I111" s="7"/>
      <c r="L111" s="7"/>
      <c r="M111" s="3"/>
    </row>
    <row r="112">
      <c r="C112" s="7"/>
      <c r="E112" s="7"/>
      <c r="F112" s="3"/>
      <c r="I112" s="7"/>
      <c r="L112" s="7"/>
      <c r="M112" s="3"/>
    </row>
    <row r="113">
      <c r="C113" s="7"/>
      <c r="E113" s="7"/>
      <c r="F113" s="3"/>
      <c r="I113" s="7"/>
      <c r="L113" s="7"/>
      <c r="M113" s="3"/>
    </row>
    <row r="114">
      <c r="C114" s="7"/>
      <c r="E114" s="7"/>
      <c r="F114" s="3"/>
      <c r="I114" s="7"/>
      <c r="L114" s="7"/>
      <c r="M114" s="3"/>
    </row>
    <row r="115">
      <c r="C115" s="7"/>
      <c r="E115" s="7"/>
      <c r="F115" s="3"/>
      <c r="I115" s="7"/>
      <c r="L115" s="7"/>
      <c r="M115" s="3"/>
    </row>
    <row r="116">
      <c r="C116" s="7"/>
      <c r="E116" s="7"/>
      <c r="F116" s="3"/>
      <c r="I116" s="7"/>
      <c r="L116" s="7"/>
      <c r="M116" s="3"/>
    </row>
    <row r="117">
      <c r="C117" s="7"/>
      <c r="E117" s="7"/>
      <c r="F117" s="3"/>
      <c r="I117" s="7"/>
      <c r="L117" s="7"/>
      <c r="M117" s="3"/>
    </row>
    <row r="118">
      <c r="C118" s="7"/>
      <c r="E118" s="7"/>
      <c r="F118" s="3"/>
      <c r="I118" s="7"/>
      <c r="L118" s="7"/>
      <c r="M118" s="3"/>
    </row>
    <row r="119">
      <c r="C119" s="7"/>
      <c r="E119" s="7"/>
      <c r="F119" s="3"/>
      <c r="I119" s="7"/>
      <c r="L119" s="7"/>
      <c r="M119" s="3"/>
    </row>
    <row r="120">
      <c r="C120" s="7"/>
      <c r="E120" s="7"/>
      <c r="F120" s="3"/>
      <c r="I120" s="7"/>
      <c r="L120" s="7"/>
      <c r="M120" s="3"/>
    </row>
    <row r="121">
      <c r="C121" s="7"/>
      <c r="E121" s="7"/>
      <c r="F121" s="3"/>
      <c r="I121" s="7"/>
      <c r="L121" s="7"/>
      <c r="M121" s="3"/>
    </row>
    <row r="122">
      <c r="C122" s="7"/>
      <c r="E122" s="7"/>
      <c r="F122" s="3"/>
      <c r="I122" s="7"/>
      <c r="L122" s="7"/>
      <c r="M122" s="3"/>
    </row>
    <row r="123">
      <c r="C123" s="7"/>
      <c r="E123" s="7"/>
      <c r="F123" s="3"/>
      <c r="I123" s="7"/>
      <c r="L123" s="7"/>
      <c r="M123" s="3"/>
    </row>
    <row r="124">
      <c r="C124" s="7"/>
      <c r="E124" s="7"/>
      <c r="F124" s="3"/>
      <c r="I124" s="7"/>
      <c r="L124" s="7"/>
      <c r="M124" s="3"/>
    </row>
    <row r="125">
      <c r="C125" s="7"/>
      <c r="E125" s="7"/>
      <c r="F125" s="3"/>
      <c r="I125" s="7"/>
      <c r="L125" s="7"/>
      <c r="M125" s="3"/>
    </row>
    <row r="126">
      <c r="C126" s="7"/>
      <c r="E126" s="7"/>
      <c r="F126" s="3"/>
      <c r="I126" s="7"/>
      <c r="L126" s="7"/>
      <c r="M126" s="3"/>
    </row>
    <row r="127">
      <c r="C127" s="7"/>
      <c r="E127" s="7"/>
      <c r="F127" s="3"/>
      <c r="I127" s="7"/>
      <c r="L127" s="7"/>
      <c r="M127" s="3"/>
    </row>
    <row r="128">
      <c r="C128" s="7"/>
      <c r="E128" s="7"/>
      <c r="F128" s="3"/>
      <c r="I128" s="7"/>
      <c r="L128" s="7"/>
      <c r="M128" s="3"/>
    </row>
    <row r="129">
      <c r="C129" s="7"/>
      <c r="E129" s="7"/>
      <c r="F129" s="3"/>
      <c r="I129" s="7"/>
      <c r="L129" s="7"/>
      <c r="M129" s="3"/>
    </row>
    <row r="130">
      <c r="C130" s="7"/>
      <c r="E130" s="7"/>
      <c r="F130" s="3"/>
      <c r="I130" s="7"/>
      <c r="L130" s="7"/>
      <c r="M130" s="3"/>
    </row>
    <row r="131">
      <c r="C131" s="7"/>
      <c r="E131" s="7"/>
      <c r="F131" s="3"/>
      <c r="I131" s="7"/>
      <c r="L131" s="7"/>
      <c r="M131" s="3"/>
    </row>
    <row r="132">
      <c r="C132" s="7"/>
      <c r="E132" s="7"/>
      <c r="F132" s="3"/>
      <c r="I132" s="7"/>
      <c r="L132" s="7"/>
      <c r="M132" s="3"/>
    </row>
    <row r="133">
      <c r="C133" s="7"/>
      <c r="E133" s="7"/>
      <c r="F133" s="3"/>
      <c r="I133" s="7"/>
      <c r="L133" s="7"/>
      <c r="M133" s="3"/>
    </row>
    <row r="134">
      <c r="C134" s="7"/>
      <c r="E134" s="7"/>
      <c r="F134" s="3"/>
      <c r="I134" s="7"/>
      <c r="L134" s="7"/>
      <c r="M134" s="3"/>
    </row>
    <row r="135">
      <c r="C135" s="7"/>
      <c r="E135" s="7"/>
      <c r="F135" s="3"/>
      <c r="I135" s="7"/>
      <c r="L135" s="7"/>
      <c r="M135" s="3"/>
    </row>
    <row r="136">
      <c r="C136" s="7"/>
      <c r="E136" s="7"/>
      <c r="F136" s="3"/>
      <c r="I136" s="7"/>
      <c r="L136" s="7"/>
      <c r="M136" s="3"/>
    </row>
    <row r="137">
      <c r="C137" s="7"/>
      <c r="E137" s="7"/>
      <c r="F137" s="3"/>
      <c r="I137" s="7"/>
      <c r="L137" s="7"/>
      <c r="M137" s="3"/>
    </row>
    <row r="138">
      <c r="C138" s="7"/>
      <c r="E138" s="7"/>
      <c r="F138" s="3"/>
      <c r="I138" s="7"/>
      <c r="L138" s="7"/>
      <c r="M138" s="3"/>
    </row>
    <row r="139">
      <c r="C139" s="7"/>
      <c r="E139" s="7"/>
      <c r="F139" s="3"/>
      <c r="I139" s="7"/>
      <c r="L139" s="7"/>
      <c r="M139" s="3"/>
    </row>
    <row r="140">
      <c r="C140" s="7"/>
      <c r="E140" s="7"/>
      <c r="F140" s="3"/>
      <c r="I140" s="7"/>
      <c r="L140" s="7"/>
      <c r="M140" s="3"/>
    </row>
    <row r="141">
      <c r="C141" s="7"/>
      <c r="E141" s="7"/>
      <c r="F141" s="3"/>
      <c r="I141" s="7"/>
      <c r="L141" s="7"/>
      <c r="M141" s="3"/>
    </row>
    <row r="142">
      <c r="C142" s="7"/>
      <c r="E142" s="7"/>
      <c r="F142" s="3"/>
      <c r="I142" s="7"/>
      <c r="L142" s="7"/>
      <c r="M142" s="3"/>
    </row>
    <row r="143">
      <c r="C143" s="7"/>
      <c r="E143" s="7"/>
      <c r="F143" s="3"/>
      <c r="I143" s="7"/>
      <c r="L143" s="7"/>
      <c r="M143" s="3"/>
    </row>
    <row r="144">
      <c r="C144" s="7"/>
      <c r="E144" s="7"/>
      <c r="F144" s="3"/>
      <c r="I144" s="7"/>
      <c r="L144" s="7"/>
      <c r="M144" s="3"/>
    </row>
    <row r="145">
      <c r="C145" s="7"/>
      <c r="E145" s="7"/>
      <c r="F145" s="3"/>
      <c r="I145" s="7"/>
      <c r="L145" s="7"/>
      <c r="M145" s="3"/>
    </row>
    <row r="146">
      <c r="C146" s="7"/>
      <c r="E146" s="7"/>
      <c r="F146" s="3"/>
      <c r="I146" s="7"/>
      <c r="L146" s="7"/>
      <c r="M146" s="3"/>
    </row>
    <row r="147">
      <c r="C147" s="7"/>
      <c r="E147" s="7"/>
      <c r="F147" s="3"/>
      <c r="I147" s="7"/>
      <c r="L147" s="7"/>
      <c r="M147" s="3"/>
    </row>
    <row r="148">
      <c r="C148" s="7"/>
      <c r="E148" s="7"/>
      <c r="F148" s="3"/>
      <c r="I148" s="7"/>
      <c r="L148" s="7"/>
      <c r="M148" s="3"/>
    </row>
    <row r="149">
      <c r="C149" s="7"/>
      <c r="E149" s="7"/>
      <c r="F149" s="3"/>
      <c r="I149" s="7"/>
      <c r="L149" s="7"/>
      <c r="M149" s="3"/>
    </row>
    <row r="150">
      <c r="C150" s="7"/>
      <c r="E150" s="7"/>
      <c r="F150" s="3"/>
      <c r="I150" s="7"/>
      <c r="L150" s="7"/>
      <c r="M150" s="3"/>
    </row>
    <row r="151">
      <c r="C151" s="7"/>
      <c r="E151" s="7"/>
      <c r="F151" s="3"/>
      <c r="I151" s="7"/>
      <c r="L151" s="7"/>
      <c r="M151" s="3"/>
    </row>
    <row r="152">
      <c r="C152" s="7"/>
      <c r="E152" s="7"/>
      <c r="F152" s="3"/>
      <c r="I152" s="7"/>
      <c r="L152" s="7"/>
      <c r="M152" s="3"/>
    </row>
    <row r="153">
      <c r="C153" s="7"/>
      <c r="E153" s="7"/>
      <c r="F153" s="3"/>
      <c r="I153" s="7"/>
      <c r="L153" s="7"/>
      <c r="M153" s="3"/>
    </row>
    <row r="154">
      <c r="C154" s="7"/>
      <c r="E154" s="7"/>
      <c r="F154" s="3"/>
      <c r="I154" s="7"/>
      <c r="L154" s="7"/>
      <c r="M154" s="3"/>
    </row>
    <row r="155">
      <c r="C155" s="7"/>
      <c r="E155" s="7"/>
      <c r="F155" s="3"/>
      <c r="I155" s="7"/>
      <c r="L155" s="7"/>
      <c r="M155" s="3"/>
    </row>
    <row r="156">
      <c r="C156" s="7"/>
      <c r="E156" s="7"/>
      <c r="F156" s="3"/>
      <c r="I156" s="7"/>
      <c r="L156" s="7"/>
      <c r="M156" s="3"/>
    </row>
    <row r="157">
      <c r="C157" s="7"/>
      <c r="E157" s="7"/>
      <c r="F157" s="3"/>
      <c r="I157" s="7"/>
      <c r="L157" s="7"/>
      <c r="M157" s="3"/>
    </row>
    <row r="158">
      <c r="C158" s="7"/>
      <c r="E158" s="7"/>
      <c r="F158" s="3"/>
      <c r="I158" s="7"/>
      <c r="L158" s="7"/>
      <c r="M158" s="3"/>
    </row>
    <row r="159">
      <c r="C159" s="7"/>
      <c r="E159" s="7"/>
      <c r="F159" s="3"/>
      <c r="I159" s="7"/>
      <c r="L159" s="7"/>
      <c r="M159" s="3"/>
    </row>
    <row r="160">
      <c r="C160" s="7"/>
      <c r="E160" s="7"/>
      <c r="F160" s="3"/>
      <c r="I160" s="7"/>
      <c r="L160" s="7"/>
      <c r="M160" s="3"/>
    </row>
    <row r="161">
      <c r="C161" s="7"/>
      <c r="E161" s="7"/>
      <c r="F161" s="3"/>
      <c r="I161" s="7"/>
      <c r="L161" s="7"/>
      <c r="M161" s="3"/>
    </row>
    <row r="162">
      <c r="C162" s="7"/>
      <c r="E162" s="7"/>
      <c r="F162" s="3"/>
      <c r="I162" s="7"/>
      <c r="L162" s="7"/>
      <c r="M162" s="3"/>
    </row>
    <row r="163">
      <c r="C163" s="7"/>
      <c r="E163" s="7"/>
      <c r="F163" s="3"/>
      <c r="I163" s="7"/>
      <c r="L163" s="7"/>
      <c r="M163" s="3"/>
    </row>
    <row r="164">
      <c r="C164" s="7"/>
      <c r="E164" s="7"/>
      <c r="F164" s="3"/>
      <c r="I164" s="7"/>
      <c r="L164" s="7"/>
      <c r="M164" s="3"/>
    </row>
    <row r="165">
      <c r="C165" s="7"/>
      <c r="E165" s="7"/>
      <c r="F165" s="3"/>
      <c r="I165" s="7"/>
      <c r="L165" s="7"/>
      <c r="M165" s="3"/>
    </row>
    <row r="166">
      <c r="C166" s="7"/>
      <c r="E166" s="7"/>
      <c r="F166" s="3"/>
      <c r="I166" s="7"/>
      <c r="L166" s="7"/>
      <c r="M166" s="3"/>
    </row>
    <row r="167">
      <c r="C167" s="7"/>
      <c r="E167" s="7"/>
      <c r="F167" s="3"/>
      <c r="I167" s="7"/>
      <c r="L167" s="7"/>
      <c r="M167" s="3"/>
    </row>
    <row r="168">
      <c r="C168" s="7"/>
      <c r="E168" s="7"/>
      <c r="F168" s="3"/>
      <c r="I168" s="7"/>
      <c r="L168" s="7"/>
      <c r="M168" s="3"/>
    </row>
    <row r="169">
      <c r="C169" s="7"/>
      <c r="E169" s="7"/>
      <c r="F169" s="3"/>
      <c r="I169" s="7"/>
      <c r="L169" s="7"/>
      <c r="M169" s="3"/>
    </row>
    <row r="170">
      <c r="C170" s="7"/>
      <c r="E170" s="7"/>
      <c r="F170" s="3"/>
      <c r="I170" s="7"/>
      <c r="L170" s="7"/>
      <c r="M170" s="3"/>
    </row>
    <row r="171">
      <c r="C171" s="7"/>
      <c r="E171" s="7"/>
      <c r="F171" s="3"/>
      <c r="I171" s="7"/>
      <c r="L171" s="7"/>
      <c r="M171" s="3"/>
    </row>
    <row r="172">
      <c r="C172" s="7"/>
      <c r="E172" s="7"/>
      <c r="F172" s="3"/>
      <c r="I172" s="7"/>
      <c r="L172" s="7"/>
      <c r="M172" s="3"/>
    </row>
    <row r="173">
      <c r="C173" s="7"/>
      <c r="E173" s="7"/>
      <c r="F173" s="3"/>
      <c r="I173" s="7"/>
      <c r="L173" s="7"/>
      <c r="M173" s="3"/>
    </row>
    <row r="174">
      <c r="C174" s="7"/>
      <c r="E174" s="7"/>
      <c r="F174" s="3"/>
      <c r="I174" s="7"/>
      <c r="L174" s="7"/>
      <c r="M174" s="3"/>
    </row>
    <row r="175">
      <c r="C175" s="7"/>
      <c r="E175" s="7"/>
      <c r="F175" s="3"/>
      <c r="I175" s="7"/>
      <c r="L175" s="7"/>
      <c r="M175" s="3"/>
    </row>
    <row r="176">
      <c r="C176" s="7"/>
      <c r="E176" s="7"/>
      <c r="F176" s="3"/>
      <c r="I176" s="7"/>
      <c r="L176" s="7"/>
      <c r="M176" s="3"/>
    </row>
    <row r="177">
      <c r="C177" s="7"/>
      <c r="E177" s="7"/>
      <c r="F177" s="3"/>
      <c r="I177" s="7"/>
      <c r="L177" s="7"/>
      <c r="M177" s="3"/>
    </row>
    <row r="178">
      <c r="C178" s="7"/>
      <c r="E178" s="7"/>
      <c r="F178" s="3"/>
      <c r="I178" s="7"/>
      <c r="L178" s="7"/>
      <c r="M178" s="3"/>
    </row>
    <row r="179">
      <c r="C179" s="7"/>
      <c r="E179" s="7"/>
      <c r="F179" s="3"/>
      <c r="I179" s="7"/>
      <c r="L179" s="7"/>
      <c r="M179" s="3"/>
    </row>
    <row r="180">
      <c r="C180" s="7"/>
      <c r="E180" s="7"/>
      <c r="F180" s="3"/>
      <c r="I180" s="7"/>
      <c r="L180" s="7"/>
      <c r="M180" s="3"/>
    </row>
    <row r="181">
      <c r="C181" s="7"/>
      <c r="E181" s="7"/>
      <c r="F181" s="3"/>
      <c r="I181" s="7"/>
      <c r="L181" s="7"/>
      <c r="M181" s="3"/>
    </row>
    <row r="182">
      <c r="C182" s="7"/>
      <c r="E182" s="7"/>
      <c r="F182" s="3"/>
      <c r="I182" s="7"/>
      <c r="L182" s="7"/>
      <c r="M182" s="3"/>
    </row>
    <row r="183">
      <c r="C183" s="7"/>
      <c r="E183" s="7"/>
      <c r="F183" s="3"/>
      <c r="I183" s="7"/>
      <c r="L183" s="7"/>
      <c r="M183" s="3"/>
    </row>
    <row r="184">
      <c r="C184" s="7"/>
      <c r="E184" s="7"/>
      <c r="F184" s="3"/>
      <c r="I184" s="7"/>
      <c r="L184" s="7"/>
      <c r="M184" s="3"/>
    </row>
    <row r="185">
      <c r="C185" s="7"/>
      <c r="E185" s="7"/>
      <c r="F185" s="3"/>
      <c r="I185" s="7"/>
      <c r="L185" s="7"/>
      <c r="M185" s="3"/>
    </row>
    <row r="186">
      <c r="C186" s="7"/>
      <c r="E186" s="7"/>
      <c r="F186" s="3"/>
      <c r="I186" s="7"/>
      <c r="L186" s="7"/>
      <c r="M186" s="3"/>
    </row>
    <row r="187">
      <c r="C187" s="7"/>
      <c r="E187" s="7"/>
      <c r="F187" s="3"/>
      <c r="I187" s="7"/>
      <c r="L187" s="7"/>
      <c r="M187" s="3"/>
    </row>
    <row r="188">
      <c r="C188" s="7"/>
      <c r="E188" s="7"/>
      <c r="F188" s="3"/>
      <c r="I188" s="7"/>
      <c r="L188" s="7"/>
      <c r="M188" s="3"/>
    </row>
    <row r="189">
      <c r="C189" s="7"/>
      <c r="E189" s="7"/>
      <c r="F189" s="3"/>
      <c r="I189" s="7"/>
      <c r="L189" s="7"/>
      <c r="M189" s="3"/>
    </row>
    <row r="190">
      <c r="C190" s="7"/>
      <c r="E190" s="7"/>
      <c r="F190" s="3"/>
      <c r="I190" s="7"/>
      <c r="L190" s="7"/>
      <c r="M190" s="3"/>
    </row>
    <row r="191">
      <c r="C191" s="7"/>
      <c r="E191" s="7"/>
      <c r="F191" s="3"/>
      <c r="I191" s="7"/>
      <c r="L191" s="7"/>
      <c r="M191" s="3"/>
    </row>
    <row r="192">
      <c r="C192" s="7"/>
      <c r="E192" s="7"/>
      <c r="F192" s="3"/>
      <c r="I192" s="7"/>
      <c r="L192" s="7"/>
      <c r="M192" s="3"/>
    </row>
    <row r="193">
      <c r="C193" s="7"/>
      <c r="E193" s="7"/>
      <c r="F193" s="3"/>
      <c r="I193" s="7"/>
      <c r="L193" s="7"/>
      <c r="M193" s="3"/>
    </row>
    <row r="194">
      <c r="C194" s="7"/>
      <c r="E194" s="7"/>
      <c r="F194" s="3"/>
      <c r="I194" s="7"/>
      <c r="L194" s="7"/>
      <c r="M194" s="3"/>
    </row>
    <row r="195">
      <c r="C195" s="7"/>
      <c r="E195" s="7"/>
      <c r="F195" s="3"/>
      <c r="I195" s="7"/>
      <c r="L195" s="7"/>
      <c r="M195" s="3"/>
    </row>
    <row r="196">
      <c r="C196" s="7"/>
      <c r="E196" s="7"/>
      <c r="F196" s="3"/>
      <c r="I196" s="7"/>
      <c r="L196" s="7"/>
      <c r="M196" s="3"/>
    </row>
    <row r="197">
      <c r="C197" s="7"/>
      <c r="E197" s="7"/>
      <c r="F197" s="3"/>
      <c r="I197" s="7"/>
      <c r="L197" s="7"/>
      <c r="M197" s="3"/>
    </row>
    <row r="198">
      <c r="C198" s="7"/>
      <c r="E198" s="7"/>
      <c r="F198" s="3"/>
      <c r="I198" s="7"/>
      <c r="L198" s="7"/>
      <c r="M198" s="3"/>
    </row>
    <row r="199">
      <c r="C199" s="7"/>
      <c r="E199" s="7"/>
      <c r="F199" s="3"/>
      <c r="I199" s="7"/>
      <c r="L199" s="7"/>
      <c r="M199" s="3"/>
    </row>
    <row r="200">
      <c r="C200" s="7"/>
      <c r="E200" s="7"/>
      <c r="F200" s="3"/>
      <c r="I200" s="7"/>
      <c r="L200" s="7"/>
      <c r="M200" s="3"/>
    </row>
    <row r="201">
      <c r="C201" s="7"/>
      <c r="E201" s="7"/>
      <c r="F201" s="3"/>
      <c r="I201" s="7"/>
      <c r="L201" s="7"/>
      <c r="M201" s="3"/>
    </row>
    <row r="202">
      <c r="C202" s="7"/>
      <c r="E202" s="7"/>
      <c r="F202" s="3"/>
      <c r="I202" s="7"/>
      <c r="L202" s="7"/>
      <c r="M202" s="3"/>
    </row>
    <row r="203">
      <c r="C203" s="7"/>
      <c r="E203" s="7"/>
      <c r="F203" s="3"/>
      <c r="I203" s="7"/>
      <c r="L203" s="7"/>
      <c r="M203" s="3"/>
    </row>
    <row r="204">
      <c r="C204" s="7"/>
      <c r="E204" s="7"/>
      <c r="F204" s="3"/>
      <c r="I204" s="7"/>
      <c r="L204" s="7"/>
      <c r="M204" s="3"/>
    </row>
    <row r="205">
      <c r="C205" s="7"/>
      <c r="E205" s="7"/>
      <c r="F205" s="3"/>
      <c r="I205" s="7"/>
      <c r="L205" s="7"/>
      <c r="M205" s="3"/>
    </row>
    <row r="206">
      <c r="C206" s="7"/>
      <c r="E206" s="7"/>
      <c r="F206" s="3"/>
      <c r="I206" s="7"/>
      <c r="L206" s="7"/>
      <c r="M206" s="3"/>
    </row>
    <row r="207">
      <c r="C207" s="7"/>
      <c r="E207" s="7"/>
      <c r="F207" s="3"/>
      <c r="I207" s="7"/>
      <c r="L207" s="7"/>
      <c r="M207" s="3"/>
    </row>
    <row r="208">
      <c r="C208" s="7"/>
      <c r="E208" s="7"/>
      <c r="F208" s="3"/>
      <c r="I208" s="7"/>
      <c r="L208" s="7"/>
      <c r="M208" s="3"/>
    </row>
    <row r="209">
      <c r="C209" s="7"/>
      <c r="E209" s="7"/>
      <c r="F209" s="3"/>
      <c r="I209" s="7"/>
      <c r="L209" s="7"/>
      <c r="M209" s="3"/>
    </row>
    <row r="210">
      <c r="C210" s="7"/>
      <c r="E210" s="7"/>
      <c r="F210" s="3"/>
      <c r="I210" s="7"/>
      <c r="L210" s="7"/>
      <c r="M210" s="3"/>
    </row>
    <row r="211">
      <c r="C211" s="7"/>
      <c r="E211" s="7"/>
      <c r="F211" s="3"/>
      <c r="I211" s="7"/>
      <c r="L211" s="7"/>
      <c r="M211" s="3"/>
    </row>
    <row r="212">
      <c r="C212" s="7"/>
      <c r="E212" s="7"/>
      <c r="F212" s="3"/>
      <c r="I212" s="7"/>
      <c r="L212" s="7"/>
      <c r="M212" s="3"/>
    </row>
    <row r="213">
      <c r="C213" s="7"/>
      <c r="E213" s="7"/>
      <c r="F213" s="3"/>
      <c r="I213" s="7"/>
      <c r="L213" s="7"/>
      <c r="M213" s="3"/>
    </row>
    <row r="214">
      <c r="C214" s="7"/>
      <c r="E214" s="7"/>
      <c r="F214" s="3"/>
      <c r="I214" s="7"/>
      <c r="L214" s="7"/>
      <c r="M214" s="3"/>
    </row>
    <row r="215">
      <c r="C215" s="7"/>
      <c r="E215" s="7"/>
      <c r="F215" s="3"/>
      <c r="I215" s="7"/>
      <c r="L215" s="7"/>
      <c r="M215" s="3"/>
    </row>
    <row r="216">
      <c r="C216" s="7"/>
      <c r="E216" s="7"/>
      <c r="F216" s="3"/>
      <c r="I216" s="7"/>
      <c r="L216" s="7"/>
      <c r="M216" s="3"/>
    </row>
    <row r="217">
      <c r="C217" s="7"/>
      <c r="E217" s="7"/>
      <c r="F217" s="3"/>
      <c r="I217" s="7"/>
      <c r="L217" s="7"/>
      <c r="M217" s="3"/>
    </row>
    <row r="218">
      <c r="C218" s="7"/>
      <c r="E218" s="7"/>
      <c r="F218" s="3"/>
      <c r="I218" s="7"/>
      <c r="L218" s="7"/>
      <c r="M218" s="3"/>
    </row>
    <row r="219">
      <c r="C219" s="7"/>
      <c r="E219" s="7"/>
      <c r="F219" s="3"/>
      <c r="I219" s="7"/>
      <c r="L219" s="7"/>
      <c r="M219" s="3"/>
    </row>
    <row r="220">
      <c r="C220" s="7"/>
      <c r="E220" s="7"/>
      <c r="F220" s="3"/>
      <c r="I220" s="7"/>
      <c r="L220" s="7"/>
      <c r="M220" s="3"/>
    </row>
    <row r="221">
      <c r="C221" s="7"/>
      <c r="E221" s="7"/>
      <c r="F221" s="3"/>
      <c r="I221" s="7"/>
      <c r="L221" s="7"/>
      <c r="M221" s="3"/>
    </row>
    <row r="222">
      <c r="C222" s="7"/>
      <c r="E222" s="7"/>
      <c r="F222" s="3"/>
      <c r="I222" s="7"/>
      <c r="L222" s="7"/>
      <c r="M222" s="3"/>
    </row>
    <row r="223">
      <c r="C223" s="7"/>
      <c r="E223" s="7"/>
      <c r="F223" s="3"/>
      <c r="I223" s="7"/>
      <c r="L223" s="7"/>
      <c r="M223" s="3"/>
    </row>
    <row r="224">
      <c r="C224" s="7"/>
      <c r="E224" s="7"/>
      <c r="F224" s="3"/>
      <c r="I224" s="7"/>
      <c r="L224" s="7"/>
      <c r="M224" s="3"/>
    </row>
    <row r="225">
      <c r="C225" s="7"/>
      <c r="E225" s="7"/>
      <c r="F225" s="3"/>
      <c r="I225" s="7"/>
      <c r="L225" s="7"/>
      <c r="M225" s="3"/>
    </row>
    <row r="226">
      <c r="C226" s="7"/>
      <c r="E226" s="7"/>
      <c r="F226" s="3"/>
      <c r="I226" s="7"/>
      <c r="L226" s="7"/>
      <c r="M226" s="3"/>
    </row>
    <row r="227">
      <c r="C227" s="7"/>
      <c r="E227" s="7"/>
      <c r="F227" s="3"/>
      <c r="I227" s="7"/>
      <c r="L227" s="7"/>
      <c r="M227" s="3"/>
    </row>
    <row r="228">
      <c r="C228" s="7"/>
      <c r="E228" s="7"/>
      <c r="F228" s="3"/>
      <c r="I228" s="7"/>
      <c r="L228" s="7"/>
      <c r="M228" s="3"/>
    </row>
    <row r="229">
      <c r="C229" s="7"/>
      <c r="E229" s="7"/>
      <c r="F229" s="3"/>
      <c r="I229" s="7"/>
      <c r="L229" s="7"/>
      <c r="M229" s="3"/>
    </row>
    <row r="230">
      <c r="C230" s="7"/>
      <c r="E230" s="7"/>
      <c r="F230" s="3"/>
      <c r="I230" s="7"/>
      <c r="L230" s="7"/>
      <c r="M230" s="3"/>
    </row>
    <row r="231">
      <c r="C231" s="7"/>
      <c r="E231" s="7"/>
      <c r="F231" s="3"/>
      <c r="I231" s="7"/>
      <c r="L231" s="7"/>
      <c r="M231" s="3"/>
    </row>
    <row r="232">
      <c r="C232" s="7"/>
      <c r="E232" s="7"/>
      <c r="F232" s="3"/>
      <c r="I232" s="7"/>
      <c r="L232" s="7"/>
      <c r="M232" s="3"/>
    </row>
    <row r="233">
      <c r="C233" s="7"/>
      <c r="E233" s="7"/>
      <c r="F233" s="3"/>
      <c r="I233" s="7"/>
      <c r="L233" s="7"/>
      <c r="M233" s="3"/>
    </row>
    <row r="234">
      <c r="C234" s="7"/>
      <c r="E234" s="7"/>
      <c r="F234" s="3"/>
      <c r="I234" s="7"/>
      <c r="L234" s="7"/>
      <c r="M234" s="3"/>
    </row>
    <row r="235">
      <c r="C235" s="7"/>
      <c r="E235" s="7"/>
      <c r="F235" s="3"/>
      <c r="I235" s="7"/>
      <c r="L235" s="7"/>
      <c r="M235" s="3"/>
    </row>
    <row r="236">
      <c r="C236" s="7"/>
      <c r="E236" s="7"/>
      <c r="F236" s="3"/>
      <c r="I236" s="7"/>
      <c r="L236" s="7"/>
      <c r="M236" s="3"/>
    </row>
    <row r="237">
      <c r="C237" s="7"/>
      <c r="E237" s="7"/>
      <c r="F237" s="3"/>
      <c r="I237" s="7"/>
      <c r="L237" s="7"/>
      <c r="M237" s="3"/>
    </row>
    <row r="238">
      <c r="C238" s="7"/>
      <c r="E238" s="7"/>
      <c r="F238" s="3"/>
      <c r="I238" s="7"/>
      <c r="L238" s="7"/>
      <c r="M238" s="3"/>
    </row>
    <row r="239">
      <c r="C239" s="7"/>
      <c r="E239" s="7"/>
      <c r="F239" s="3"/>
      <c r="I239" s="7"/>
      <c r="L239" s="7"/>
      <c r="M239" s="3"/>
    </row>
    <row r="240">
      <c r="C240" s="7"/>
      <c r="E240" s="7"/>
      <c r="F240" s="3"/>
      <c r="I240" s="7"/>
      <c r="L240" s="7"/>
      <c r="M240" s="3"/>
    </row>
    <row r="241">
      <c r="C241" s="7"/>
      <c r="E241" s="7"/>
      <c r="F241" s="3"/>
      <c r="I241" s="7"/>
      <c r="L241" s="7"/>
      <c r="M241" s="3"/>
    </row>
    <row r="242">
      <c r="C242" s="7"/>
      <c r="E242" s="7"/>
      <c r="F242" s="3"/>
      <c r="I242" s="7"/>
      <c r="L242" s="7"/>
      <c r="M242" s="3"/>
    </row>
    <row r="243">
      <c r="C243" s="7"/>
      <c r="E243" s="7"/>
      <c r="F243" s="3"/>
      <c r="I243" s="7"/>
      <c r="L243" s="7"/>
      <c r="M243" s="3"/>
    </row>
    <row r="244">
      <c r="C244" s="7"/>
      <c r="E244" s="7"/>
      <c r="F244" s="3"/>
      <c r="I244" s="7"/>
      <c r="L244" s="7"/>
      <c r="M244" s="3"/>
    </row>
    <row r="245">
      <c r="C245" s="7"/>
      <c r="E245" s="7"/>
      <c r="F245" s="3"/>
      <c r="I245" s="7"/>
      <c r="L245" s="7"/>
      <c r="M245" s="3"/>
    </row>
    <row r="246">
      <c r="C246" s="7"/>
      <c r="E246" s="7"/>
      <c r="F246" s="3"/>
      <c r="I246" s="7"/>
      <c r="L246" s="7"/>
      <c r="M246" s="3"/>
    </row>
    <row r="247">
      <c r="C247" s="7"/>
      <c r="E247" s="7"/>
      <c r="F247" s="3"/>
      <c r="I247" s="7"/>
      <c r="L247" s="7"/>
      <c r="M247" s="3"/>
    </row>
    <row r="248">
      <c r="C248" s="7"/>
      <c r="E248" s="7"/>
      <c r="F248" s="3"/>
      <c r="I248" s="7"/>
      <c r="L248" s="7"/>
      <c r="M248" s="3"/>
    </row>
    <row r="249">
      <c r="C249" s="7"/>
      <c r="E249" s="7"/>
      <c r="F249" s="3"/>
      <c r="I249" s="7"/>
      <c r="L249" s="7"/>
      <c r="M249" s="3"/>
    </row>
    <row r="250">
      <c r="C250" s="7"/>
      <c r="E250" s="7"/>
      <c r="F250" s="3"/>
      <c r="I250" s="7"/>
      <c r="L250" s="7"/>
      <c r="M250" s="3"/>
    </row>
    <row r="251">
      <c r="C251" s="7"/>
      <c r="E251" s="7"/>
      <c r="F251" s="3"/>
      <c r="I251" s="7"/>
      <c r="L251" s="7"/>
      <c r="M251" s="3"/>
    </row>
    <row r="252">
      <c r="C252" s="7"/>
      <c r="E252" s="7"/>
      <c r="F252" s="3"/>
      <c r="I252" s="7"/>
      <c r="L252" s="7"/>
      <c r="M252" s="3"/>
    </row>
    <row r="253">
      <c r="C253" s="7"/>
      <c r="E253" s="7"/>
      <c r="F253" s="3"/>
      <c r="I253" s="7"/>
      <c r="L253" s="7"/>
      <c r="M253" s="3"/>
    </row>
    <row r="254">
      <c r="C254" s="7"/>
      <c r="E254" s="7"/>
      <c r="F254" s="3"/>
      <c r="I254" s="7"/>
      <c r="L254" s="7"/>
      <c r="M254" s="3"/>
    </row>
    <row r="255">
      <c r="C255" s="7"/>
      <c r="E255" s="7"/>
      <c r="F255" s="3"/>
      <c r="I255" s="7"/>
      <c r="L255" s="7"/>
      <c r="M255" s="3"/>
    </row>
    <row r="256">
      <c r="C256" s="7"/>
      <c r="E256" s="7"/>
      <c r="F256" s="3"/>
      <c r="I256" s="7"/>
      <c r="L256" s="7"/>
      <c r="M256" s="3"/>
    </row>
    <row r="257">
      <c r="C257" s="7"/>
      <c r="E257" s="7"/>
      <c r="F257" s="3"/>
      <c r="I257" s="7"/>
      <c r="L257" s="7"/>
      <c r="M257" s="3"/>
    </row>
    <row r="258">
      <c r="C258" s="7"/>
      <c r="E258" s="7"/>
      <c r="F258" s="3"/>
      <c r="I258" s="7"/>
      <c r="L258" s="7"/>
      <c r="M258" s="3"/>
    </row>
    <row r="259">
      <c r="C259" s="7"/>
      <c r="E259" s="7"/>
      <c r="F259" s="3"/>
      <c r="I259" s="7"/>
      <c r="L259" s="7"/>
      <c r="M259" s="3"/>
    </row>
    <row r="260">
      <c r="C260" s="7"/>
      <c r="E260" s="7"/>
      <c r="F260" s="3"/>
      <c r="I260" s="7"/>
      <c r="L260" s="7"/>
      <c r="M260" s="3"/>
    </row>
    <row r="261">
      <c r="C261" s="7"/>
      <c r="E261" s="7"/>
      <c r="F261" s="3"/>
      <c r="I261" s="7"/>
      <c r="L261" s="7"/>
      <c r="M261" s="3"/>
    </row>
    <row r="262">
      <c r="C262" s="7"/>
      <c r="E262" s="7"/>
      <c r="F262" s="3"/>
      <c r="I262" s="7"/>
      <c r="L262" s="7"/>
      <c r="M262" s="3"/>
    </row>
    <row r="263">
      <c r="C263" s="7"/>
      <c r="E263" s="7"/>
      <c r="F263" s="3"/>
      <c r="I263" s="7"/>
      <c r="L263" s="7"/>
      <c r="M263" s="3"/>
    </row>
    <row r="264">
      <c r="C264" s="7"/>
      <c r="E264" s="7"/>
      <c r="F264" s="3"/>
      <c r="I264" s="7"/>
      <c r="L264" s="7"/>
      <c r="M264" s="3"/>
    </row>
    <row r="265">
      <c r="C265" s="7"/>
      <c r="E265" s="7"/>
      <c r="F265" s="3"/>
      <c r="I265" s="7"/>
      <c r="L265" s="7"/>
      <c r="M265" s="3"/>
    </row>
    <row r="266">
      <c r="C266" s="7"/>
      <c r="E266" s="7"/>
      <c r="F266" s="3"/>
      <c r="I266" s="7"/>
      <c r="L266" s="7"/>
      <c r="M266" s="3"/>
    </row>
    <row r="267">
      <c r="C267" s="7"/>
      <c r="E267" s="7"/>
      <c r="F267" s="3"/>
      <c r="I267" s="7"/>
      <c r="L267" s="7"/>
      <c r="M267" s="3"/>
    </row>
    <row r="268">
      <c r="C268" s="7"/>
      <c r="E268" s="7"/>
      <c r="F268" s="3"/>
      <c r="I268" s="7"/>
      <c r="L268" s="7"/>
      <c r="M268" s="3"/>
    </row>
    <row r="269">
      <c r="C269" s="7"/>
      <c r="E269" s="7"/>
      <c r="F269" s="3"/>
      <c r="I269" s="7"/>
      <c r="L269" s="7"/>
      <c r="M269" s="3"/>
    </row>
    <row r="270">
      <c r="C270" s="7"/>
      <c r="E270" s="7"/>
      <c r="F270" s="3"/>
      <c r="I270" s="7"/>
      <c r="L270" s="7"/>
      <c r="M270" s="3"/>
    </row>
    <row r="271">
      <c r="C271" s="7"/>
      <c r="E271" s="7"/>
      <c r="F271" s="3"/>
      <c r="I271" s="7"/>
      <c r="L271" s="7"/>
      <c r="M271" s="3"/>
    </row>
    <row r="272">
      <c r="C272" s="7"/>
      <c r="E272" s="7"/>
      <c r="F272" s="3"/>
      <c r="I272" s="7"/>
      <c r="L272" s="7"/>
      <c r="M272" s="3"/>
    </row>
    <row r="273">
      <c r="C273" s="7"/>
      <c r="E273" s="7"/>
      <c r="F273" s="3"/>
      <c r="I273" s="7"/>
      <c r="L273" s="7"/>
      <c r="M273" s="3"/>
    </row>
    <row r="274">
      <c r="C274" s="7"/>
      <c r="E274" s="7"/>
      <c r="F274" s="3"/>
      <c r="I274" s="7"/>
      <c r="L274" s="7"/>
      <c r="M274" s="3"/>
    </row>
    <row r="275">
      <c r="C275" s="7"/>
      <c r="E275" s="7"/>
      <c r="F275" s="3"/>
      <c r="I275" s="7"/>
      <c r="L275" s="7"/>
      <c r="M275" s="3"/>
    </row>
    <row r="276">
      <c r="C276" s="7"/>
      <c r="E276" s="7"/>
      <c r="F276" s="3"/>
      <c r="I276" s="7"/>
      <c r="L276" s="7"/>
      <c r="M276" s="3"/>
    </row>
    <row r="277">
      <c r="C277" s="7"/>
      <c r="E277" s="7"/>
      <c r="F277" s="3"/>
      <c r="I277" s="7"/>
      <c r="L277" s="7"/>
      <c r="M277" s="3"/>
    </row>
    <row r="278">
      <c r="C278" s="7"/>
      <c r="E278" s="7"/>
      <c r="F278" s="3"/>
      <c r="I278" s="7"/>
      <c r="L278" s="7"/>
      <c r="M278" s="3"/>
    </row>
    <row r="279">
      <c r="C279" s="7"/>
      <c r="E279" s="7"/>
      <c r="F279" s="3"/>
      <c r="I279" s="7"/>
      <c r="L279" s="7"/>
      <c r="M279" s="3"/>
    </row>
    <row r="280">
      <c r="C280" s="7"/>
      <c r="E280" s="7"/>
      <c r="F280" s="3"/>
      <c r="I280" s="7"/>
      <c r="L280" s="7"/>
      <c r="M280" s="3"/>
    </row>
    <row r="281">
      <c r="C281" s="7"/>
      <c r="E281" s="7"/>
      <c r="F281" s="3"/>
      <c r="I281" s="7"/>
      <c r="L281" s="7"/>
      <c r="M281" s="3"/>
    </row>
    <row r="282">
      <c r="C282" s="7"/>
      <c r="E282" s="7"/>
      <c r="F282" s="3"/>
      <c r="I282" s="7"/>
      <c r="L282" s="7"/>
      <c r="M282" s="3"/>
    </row>
    <row r="283">
      <c r="C283" s="7"/>
      <c r="E283" s="7"/>
      <c r="F283" s="3"/>
      <c r="I283" s="7"/>
      <c r="L283" s="7"/>
      <c r="M283" s="3"/>
    </row>
    <row r="284">
      <c r="C284" s="7"/>
      <c r="E284" s="7"/>
      <c r="F284" s="3"/>
      <c r="I284" s="7"/>
      <c r="L284" s="7"/>
      <c r="M284" s="3"/>
    </row>
    <row r="285">
      <c r="C285" s="7"/>
      <c r="E285" s="7"/>
      <c r="F285" s="3"/>
      <c r="I285" s="7"/>
      <c r="L285" s="7"/>
      <c r="M285" s="3"/>
    </row>
    <row r="286">
      <c r="C286" s="7"/>
      <c r="E286" s="7"/>
      <c r="F286" s="3"/>
      <c r="I286" s="7"/>
      <c r="L286" s="7"/>
      <c r="M286" s="3"/>
    </row>
    <row r="287">
      <c r="C287" s="7"/>
      <c r="E287" s="7"/>
      <c r="F287" s="3"/>
      <c r="I287" s="7"/>
      <c r="L287" s="7"/>
      <c r="M287" s="3"/>
    </row>
    <row r="288">
      <c r="C288" s="7"/>
      <c r="E288" s="7"/>
      <c r="F288" s="3"/>
      <c r="I288" s="7"/>
      <c r="L288" s="7"/>
      <c r="M288" s="3"/>
    </row>
    <row r="289">
      <c r="C289" s="7"/>
      <c r="E289" s="7"/>
      <c r="F289" s="3"/>
      <c r="I289" s="7"/>
      <c r="L289" s="7"/>
      <c r="M289" s="3"/>
    </row>
    <row r="290">
      <c r="C290" s="7"/>
      <c r="E290" s="7"/>
      <c r="F290" s="3"/>
      <c r="I290" s="7"/>
      <c r="L290" s="7"/>
      <c r="M290" s="3"/>
    </row>
    <row r="291">
      <c r="C291" s="7"/>
      <c r="E291" s="7"/>
      <c r="F291" s="3"/>
      <c r="I291" s="7"/>
      <c r="L291" s="7"/>
      <c r="M291" s="3"/>
    </row>
    <row r="292">
      <c r="C292" s="7"/>
      <c r="E292" s="7"/>
      <c r="F292" s="3"/>
      <c r="I292" s="7"/>
      <c r="L292" s="7"/>
      <c r="M292" s="3"/>
    </row>
    <row r="293">
      <c r="C293" s="7"/>
      <c r="E293" s="7"/>
      <c r="F293" s="3"/>
      <c r="I293" s="7"/>
      <c r="L293" s="7"/>
      <c r="M293" s="3"/>
    </row>
    <row r="294">
      <c r="C294" s="7"/>
      <c r="E294" s="7"/>
      <c r="F294" s="3"/>
      <c r="I294" s="7"/>
      <c r="L294" s="7"/>
      <c r="M294" s="3"/>
    </row>
    <row r="295">
      <c r="C295" s="7"/>
      <c r="E295" s="7"/>
      <c r="F295" s="3"/>
      <c r="I295" s="7"/>
      <c r="L295" s="7"/>
      <c r="M295" s="3"/>
    </row>
    <row r="296">
      <c r="C296" s="7"/>
      <c r="E296" s="7"/>
      <c r="F296" s="3"/>
      <c r="I296" s="7"/>
      <c r="L296" s="7"/>
      <c r="M296" s="3"/>
    </row>
    <row r="297">
      <c r="C297" s="7"/>
      <c r="E297" s="7"/>
      <c r="F297" s="3"/>
      <c r="I297" s="7"/>
      <c r="L297" s="7"/>
      <c r="M297" s="3"/>
    </row>
    <row r="298">
      <c r="C298" s="7"/>
      <c r="E298" s="7"/>
      <c r="F298" s="3"/>
      <c r="I298" s="7"/>
      <c r="L298" s="7"/>
      <c r="M298" s="3"/>
    </row>
    <row r="299">
      <c r="C299" s="7"/>
      <c r="E299" s="7"/>
      <c r="F299" s="3"/>
      <c r="I299" s="7"/>
      <c r="L299" s="7"/>
      <c r="M299" s="3"/>
    </row>
    <row r="300">
      <c r="C300" s="7"/>
      <c r="E300" s="7"/>
      <c r="F300" s="3"/>
      <c r="I300" s="7"/>
      <c r="L300" s="7"/>
      <c r="M300" s="3"/>
    </row>
    <row r="301">
      <c r="C301" s="7"/>
      <c r="E301" s="7"/>
      <c r="F301" s="3"/>
      <c r="I301" s="7"/>
      <c r="L301" s="7"/>
      <c r="M301" s="3"/>
    </row>
    <row r="302">
      <c r="C302" s="7"/>
      <c r="E302" s="7"/>
      <c r="F302" s="3"/>
      <c r="I302" s="7"/>
      <c r="L302" s="7"/>
      <c r="M302" s="3"/>
    </row>
    <row r="303">
      <c r="C303" s="7"/>
      <c r="E303" s="7"/>
      <c r="F303" s="3"/>
      <c r="I303" s="7"/>
      <c r="L303" s="7"/>
      <c r="M303" s="3"/>
    </row>
    <row r="304">
      <c r="C304" s="7"/>
      <c r="E304" s="7"/>
      <c r="F304" s="3"/>
      <c r="I304" s="7"/>
      <c r="L304" s="7"/>
      <c r="M304" s="3"/>
    </row>
    <row r="305">
      <c r="C305" s="7"/>
      <c r="E305" s="7"/>
      <c r="F305" s="3"/>
      <c r="I305" s="7"/>
      <c r="L305" s="7"/>
      <c r="M305" s="3"/>
    </row>
    <row r="306">
      <c r="C306" s="7"/>
      <c r="E306" s="7"/>
      <c r="F306" s="3"/>
      <c r="I306" s="7"/>
      <c r="L306" s="7"/>
      <c r="M306" s="3"/>
    </row>
    <row r="307">
      <c r="C307" s="7"/>
      <c r="E307" s="7"/>
      <c r="F307" s="3"/>
      <c r="I307" s="7"/>
      <c r="L307" s="7"/>
      <c r="M307" s="3"/>
    </row>
    <row r="308">
      <c r="C308" s="7"/>
      <c r="E308" s="7"/>
      <c r="F308" s="3"/>
      <c r="I308" s="7"/>
      <c r="L308" s="7"/>
      <c r="M308" s="3"/>
    </row>
    <row r="309">
      <c r="C309" s="7"/>
      <c r="E309" s="7"/>
      <c r="F309" s="3"/>
      <c r="I309" s="7"/>
      <c r="L309" s="7"/>
      <c r="M309" s="3"/>
    </row>
    <row r="310">
      <c r="C310" s="7"/>
      <c r="E310" s="7"/>
      <c r="F310" s="3"/>
      <c r="I310" s="7"/>
      <c r="L310" s="7"/>
      <c r="M310" s="3"/>
    </row>
    <row r="311">
      <c r="C311" s="7"/>
      <c r="E311" s="7"/>
      <c r="F311" s="3"/>
      <c r="I311" s="7"/>
      <c r="L311" s="7"/>
      <c r="M311" s="3"/>
    </row>
    <row r="312">
      <c r="C312" s="7"/>
      <c r="E312" s="7"/>
      <c r="F312" s="3"/>
      <c r="I312" s="7"/>
      <c r="L312" s="7"/>
      <c r="M312" s="3"/>
    </row>
    <row r="313">
      <c r="C313" s="7"/>
      <c r="E313" s="7"/>
      <c r="F313" s="3"/>
      <c r="I313" s="7"/>
      <c r="L313" s="7"/>
      <c r="M313" s="3"/>
    </row>
    <row r="314">
      <c r="C314" s="7"/>
      <c r="E314" s="7"/>
      <c r="F314" s="3"/>
      <c r="I314" s="7"/>
      <c r="L314" s="7"/>
      <c r="M314" s="3"/>
    </row>
    <row r="315">
      <c r="C315" s="7"/>
      <c r="E315" s="7"/>
      <c r="F315" s="3"/>
      <c r="I315" s="7"/>
      <c r="L315" s="7"/>
      <c r="M315" s="3"/>
    </row>
    <row r="316">
      <c r="C316" s="7"/>
      <c r="E316" s="7"/>
      <c r="F316" s="3"/>
      <c r="I316" s="7"/>
      <c r="L316" s="7"/>
      <c r="M316" s="3"/>
    </row>
    <row r="317">
      <c r="C317" s="7"/>
      <c r="E317" s="7"/>
      <c r="F317" s="3"/>
      <c r="I317" s="7"/>
      <c r="L317" s="7"/>
      <c r="M317" s="3"/>
    </row>
    <row r="318">
      <c r="C318" s="7"/>
      <c r="E318" s="7"/>
      <c r="F318" s="3"/>
      <c r="I318" s="7"/>
      <c r="L318" s="7"/>
      <c r="M318" s="3"/>
    </row>
    <row r="319">
      <c r="C319" s="7"/>
      <c r="E319" s="7"/>
      <c r="F319" s="3"/>
      <c r="I319" s="7"/>
      <c r="L319" s="7"/>
      <c r="M319" s="3"/>
    </row>
    <row r="320">
      <c r="C320" s="7"/>
      <c r="E320" s="7"/>
      <c r="F320" s="3"/>
      <c r="I320" s="7"/>
      <c r="L320" s="7"/>
      <c r="M320" s="3"/>
    </row>
    <row r="321">
      <c r="C321" s="7"/>
      <c r="E321" s="7"/>
      <c r="F321" s="3"/>
      <c r="I321" s="7"/>
      <c r="L321" s="7"/>
      <c r="M321" s="3"/>
    </row>
    <row r="322">
      <c r="C322" s="7"/>
      <c r="E322" s="7"/>
      <c r="F322" s="3"/>
      <c r="I322" s="7"/>
      <c r="L322" s="7"/>
      <c r="M322" s="3"/>
    </row>
    <row r="323">
      <c r="C323" s="7"/>
      <c r="E323" s="7"/>
      <c r="F323" s="3"/>
      <c r="I323" s="7"/>
      <c r="L323" s="7"/>
      <c r="M323" s="3"/>
    </row>
    <row r="324">
      <c r="C324" s="7"/>
      <c r="E324" s="7"/>
      <c r="F324" s="3"/>
      <c r="I324" s="7"/>
      <c r="L324" s="7"/>
      <c r="M324" s="3"/>
    </row>
    <row r="325">
      <c r="C325" s="7"/>
      <c r="E325" s="7"/>
      <c r="F325" s="3"/>
      <c r="I325" s="7"/>
      <c r="L325" s="7"/>
      <c r="M325" s="3"/>
    </row>
    <row r="326">
      <c r="C326" s="7"/>
      <c r="E326" s="7"/>
      <c r="F326" s="3"/>
      <c r="I326" s="7"/>
      <c r="L326" s="7"/>
      <c r="M326" s="3"/>
    </row>
    <row r="327">
      <c r="C327" s="7"/>
      <c r="E327" s="7"/>
      <c r="F327" s="3"/>
      <c r="I327" s="7"/>
      <c r="L327" s="7"/>
      <c r="M327" s="3"/>
    </row>
    <row r="328">
      <c r="C328" s="7"/>
      <c r="E328" s="7"/>
      <c r="F328" s="3"/>
      <c r="I328" s="7"/>
      <c r="L328" s="7"/>
      <c r="M328" s="3"/>
    </row>
    <row r="329">
      <c r="C329" s="7"/>
      <c r="E329" s="7"/>
      <c r="F329" s="3"/>
      <c r="I329" s="7"/>
      <c r="L329" s="7"/>
      <c r="M329" s="3"/>
    </row>
    <row r="330">
      <c r="C330" s="7"/>
      <c r="E330" s="7"/>
      <c r="F330" s="3"/>
      <c r="I330" s="7"/>
      <c r="L330" s="7"/>
      <c r="M330" s="3"/>
    </row>
    <row r="331">
      <c r="C331" s="7"/>
      <c r="E331" s="7"/>
      <c r="F331" s="3"/>
      <c r="I331" s="7"/>
      <c r="L331" s="7"/>
      <c r="M331" s="3"/>
    </row>
    <row r="332">
      <c r="C332" s="7"/>
      <c r="E332" s="7"/>
      <c r="F332" s="3"/>
      <c r="I332" s="7"/>
      <c r="L332" s="7"/>
      <c r="M332" s="3"/>
    </row>
    <row r="333">
      <c r="C333" s="7"/>
      <c r="E333" s="7"/>
      <c r="F333" s="3"/>
      <c r="I333" s="7"/>
      <c r="L333" s="7"/>
      <c r="M333" s="3"/>
    </row>
    <row r="334">
      <c r="C334" s="7"/>
      <c r="E334" s="7"/>
      <c r="F334" s="3"/>
      <c r="I334" s="7"/>
      <c r="L334" s="7"/>
      <c r="M334" s="3"/>
    </row>
    <row r="335">
      <c r="C335" s="7"/>
      <c r="E335" s="7"/>
      <c r="F335" s="3"/>
      <c r="I335" s="7"/>
      <c r="L335" s="7"/>
      <c r="M335" s="3"/>
    </row>
    <row r="336">
      <c r="C336" s="7"/>
      <c r="E336" s="7"/>
      <c r="F336" s="3"/>
      <c r="I336" s="7"/>
      <c r="L336" s="7"/>
      <c r="M336" s="3"/>
    </row>
    <row r="337">
      <c r="C337" s="7"/>
      <c r="E337" s="7"/>
      <c r="F337" s="3"/>
      <c r="I337" s="7"/>
      <c r="L337" s="7"/>
      <c r="M337" s="3"/>
    </row>
    <row r="338">
      <c r="C338" s="7"/>
      <c r="E338" s="7"/>
      <c r="F338" s="3"/>
      <c r="I338" s="7"/>
      <c r="L338" s="7"/>
      <c r="M338" s="3"/>
    </row>
    <row r="339">
      <c r="C339" s="7"/>
      <c r="E339" s="7"/>
      <c r="F339" s="3"/>
      <c r="I339" s="7"/>
      <c r="L339" s="7"/>
      <c r="M339" s="3"/>
    </row>
    <row r="340">
      <c r="C340" s="7"/>
      <c r="E340" s="7"/>
      <c r="F340" s="3"/>
      <c r="I340" s="7"/>
      <c r="L340" s="7"/>
      <c r="M340" s="3"/>
    </row>
    <row r="341">
      <c r="C341" s="7"/>
      <c r="E341" s="7"/>
      <c r="F341" s="3"/>
      <c r="I341" s="7"/>
      <c r="L341" s="7"/>
      <c r="M341" s="3"/>
    </row>
    <row r="342">
      <c r="C342" s="7"/>
      <c r="E342" s="7"/>
      <c r="F342" s="3"/>
      <c r="I342" s="7"/>
      <c r="L342" s="7"/>
      <c r="M342" s="3"/>
    </row>
    <row r="343">
      <c r="C343" s="7"/>
      <c r="E343" s="7"/>
      <c r="F343" s="3"/>
      <c r="I343" s="7"/>
      <c r="L343" s="7"/>
      <c r="M343" s="3"/>
    </row>
    <row r="344">
      <c r="C344" s="7"/>
      <c r="E344" s="7"/>
      <c r="F344" s="3"/>
      <c r="I344" s="7"/>
      <c r="L344" s="7"/>
      <c r="M344" s="3"/>
    </row>
    <row r="345">
      <c r="C345" s="7"/>
      <c r="E345" s="7"/>
      <c r="F345" s="3"/>
      <c r="I345" s="7"/>
      <c r="L345" s="7"/>
      <c r="M345" s="3"/>
    </row>
    <row r="346">
      <c r="C346" s="7"/>
      <c r="E346" s="7"/>
      <c r="F346" s="3"/>
      <c r="I346" s="7"/>
      <c r="L346" s="7"/>
      <c r="M346" s="3"/>
    </row>
    <row r="347">
      <c r="C347" s="7"/>
      <c r="E347" s="7"/>
      <c r="F347" s="3"/>
      <c r="I347" s="7"/>
      <c r="L347" s="7"/>
      <c r="M347" s="3"/>
    </row>
    <row r="348">
      <c r="C348" s="7"/>
      <c r="E348" s="7"/>
      <c r="F348" s="3"/>
      <c r="I348" s="7"/>
      <c r="L348" s="7"/>
      <c r="M348" s="3"/>
    </row>
    <row r="349">
      <c r="C349" s="7"/>
      <c r="E349" s="7"/>
      <c r="F349" s="3"/>
      <c r="I349" s="7"/>
      <c r="L349" s="7"/>
      <c r="M349" s="3"/>
    </row>
    <row r="350">
      <c r="C350" s="7"/>
      <c r="E350" s="7"/>
      <c r="F350" s="3"/>
      <c r="I350" s="7"/>
      <c r="L350" s="7"/>
      <c r="M350" s="3"/>
    </row>
    <row r="351">
      <c r="C351" s="7"/>
      <c r="E351" s="7"/>
      <c r="F351" s="3"/>
      <c r="I351" s="7"/>
      <c r="L351" s="7"/>
      <c r="M351" s="3"/>
    </row>
    <row r="352">
      <c r="C352" s="7"/>
      <c r="E352" s="7"/>
      <c r="F352" s="3"/>
      <c r="I352" s="7"/>
      <c r="L352" s="7"/>
      <c r="M352" s="3"/>
    </row>
    <row r="353">
      <c r="C353" s="7"/>
      <c r="E353" s="7"/>
      <c r="F353" s="3"/>
      <c r="I353" s="7"/>
      <c r="L353" s="7"/>
      <c r="M353" s="3"/>
    </row>
    <row r="354">
      <c r="C354" s="7"/>
      <c r="E354" s="7"/>
      <c r="F354" s="3"/>
      <c r="I354" s="7"/>
      <c r="L354" s="7"/>
      <c r="M354" s="3"/>
    </row>
    <row r="355">
      <c r="C355" s="7"/>
      <c r="E355" s="7"/>
      <c r="F355" s="3"/>
      <c r="I355" s="7"/>
      <c r="L355" s="7"/>
      <c r="M355" s="3"/>
    </row>
    <row r="356">
      <c r="C356" s="7"/>
      <c r="E356" s="7"/>
      <c r="F356" s="3"/>
      <c r="I356" s="7"/>
      <c r="L356" s="7"/>
      <c r="M356" s="3"/>
    </row>
    <row r="357">
      <c r="C357" s="7"/>
      <c r="E357" s="7"/>
      <c r="F357" s="3"/>
      <c r="I357" s="7"/>
      <c r="L357" s="7"/>
      <c r="M357" s="3"/>
    </row>
    <row r="358">
      <c r="C358" s="7"/>
      <c r="E358" s="7"/>
      <c r="F358" s="3"/>
      <c r="I358" s="7"/>
      <c r="L358" s="7"/>
      <c r="M358" s="3"/>
    </row>
    <row r="359">
      <c r="C359" s="7"/>
      <c r="E359" s="7"/>
      <c r="F359" s="3"/>
      <c r="I359" s="7"/>
      <c r="L359" s="7"/>
      <c r="M359" s="3"/>
    </row>
    <row r="360">
      <c r="C360" s="7"/>
      <c r="E360" s="7"/>
      <c r="F360" s="3"/>
      <c r="I360" s="7"/>
      <c r="L360" s="7"/>
      <c r="M360" s="3"/>
    </row>
    <row r="361">
      <c r="C361" s="7"/>
      <c r="E361" s="7"/>
      <c r="F361" s="3"/>
      <c r="I361" s="7"/>
      <c r="L361" s="7"/>
      <c r="M361" s="3"/>
    </row>
    <row r="362">
      <c r="C362" s="7"/>
      <c r="E362" s="7"/>
      <c r="F362" s="3"/>
      <c r="I362" s="7"/>
      <c r="L362" s="7"/>
      <c r="M362" s="3"/>
    </row>
    <row r="363">
      <c r="C363" s="7"/>
      <c r="E363" s="7"/>
      <c r="F363" s="3"/>
      <c r="I363" s="7"/>
      <c r="L363" s="7"/>
      <c r="M363" s="3"/>
    </row>
    <row r="364">
      <c r="C364" s="7"/>
      <c r="E364" s="7"/>
      <c r="F364" s="3"/>
      <c r="I364" s="7"/>
      <c r="L364" s="7"/>
      <c r="M364" s="3"/>
    </row>
    <row r="365">
      <c r="C365" s="7"/>
      <c r="E365" s="7"/>
      <c r="F365" s="3"/>
      <c r="I365" s="7"/>
      <c r="L365" s="7"/>
      <c r="M365" s="3"/>
    </row>
    <row r="366">
      <c r="C366" s="7"/>
      <c r="E366" s="7"/>
      <c r="F366" s="3"/>
      <c r="I366" s="7"/>
      <c r="L366" s="7"/>
      <c r="M366" s="3"/>
    </row>
    <row r="367">
      <c r="C367" s="7"/>
      <c r="E367" s="7"/>
      <c r="F367" s="3"/>
      <c r="I367" s="7"/>
      <c r="L367" s="7"/>
      <c r="M367" s="3"/>
    </row>
    <row r="368">
      <c r="C368" s="7"/>
      <c r="E368" s="7"/>
      <c r="F368" s="3"/>
      <c r="I368" s="7"/>
      <c r="L368" s="7"/>
      <c r="M368" s="3"/>
    </row>
    <row r="369">
      <c r="C369" s="7"/>
      <c r="E369" s="7"/>
      <c r="F369" s="3"/>
      <c r="I369" s="7"/>
      <c r="L369" s="7"/>
      <c r="M369" s="3"/>
    </row>
    <row r="370">
      <c r="C370" s="7"/>
      <c r="E370" s="7"/>
      <c r="F370" s="3"/>
      <c r="I370" s="7"/>
      <c r="L370" s="7"/>
      <c r="M370" s="3"/>
    </row>
    <row r="371">
      <c r="C371" s="7"/>
      <c r="E371" s="7"/>
      <c r="F371" s="3"/>
      <c r="I371" s="7"/>
      <c r="L371" s="7"/>
      <c r="M371" s="3"/>
    </row>
    <row r="372">
      <c r="C372" s="7"/>
      <c r="E372" s="7"/>
      <c r="F372" s="3"/>
      <c r="I372" s="7"/>
      <c r="L372" s="7"/>
      <c r="M372" s="3"/>
    </row>
    <row r="373">
      <c r="C373" s="7"/>
      <c r="E373" s="7"/>
      <c r="F373" s="3"/>
      <c r="I373" s="7"/>
      <c r="L373" s="7"/>
      <c r="M373" s="3"/>
    </row>
    <row r="374">
      <c r="C374" s="7"/>
      <c r="E374" s="7"/>
      <c r="F374" s="3"/>
      <c r="I374" s="7"/>
      <c r="L374" s="7"/>
      <c r="M374" s="3"/>
    </row>
    <row r="375">
      <c r="C375" s="7"/>
      <c r="E375" s="7"/>
      <c r="F375" s="3"/>
      <c r="I375" s="7"/>
      <c r="L375" s="7"/>
      <c r="M375" s="3"/>
    </row>
    <row r="376">
      <c r="C376" s="7"/>
      <c r="E376" s="7"/>
      <c r="F376" s="3"/>
      <c r="I376" s="7"/>
      <c r="L376" s="7"/>
      <c r="M376" s="3"/>
    </row>
    <row r="377">
      <c r="C377" s="7"/>
      <c r="E377" s="7"/>
      <c r="F377" s="3"/>
      <c r="I377" s="7"/>
      <c r="L377" s="7"/>
      <c r="M377" s="3"/>
    </row>
    <row r="378">
      <c r="C378" s="7"/>
      <c r="E378" s="7"/>
      <c r="F378" s="3"/>
      <c r="I378" s="7"/>
      <c r="L378" s="7"/>
      <c r="M378" s="3"/>
    </row>
    <row r="379">
      <c r="C379" s="7"/>
      <c r="E379" s="7"/>
      <c r="F379" s="3"/>
      <c r="I379" s="7"/>
      <c r="L379" s="7"/>
      <c r="M379" s="3"/>
    </row>
    <row r="380">
      <c r="C380" s="7"/>
      <c r="E380" s="7"/>
      <c r="F380" s="3"/>
      <c r="I380" s="7"/>
      <c r="L380" s="7"/>
      <c r="M380" s="3"/>
    </row>
    <row r="381">
      <c r="C381" s="7"/>
      <c r="E381" s="7"/>
      <c r="F381" s="3"/>
      <c r="I381" s="7"/>
      <c r="L381" s="7"/>
      <c r="M381" s="3"/>
    </row>
    <row r="382">
      <c r="C382" s="7"/>
      <c r="E382" s="7"/>
      <c r="F382" s="3"/>
      <c r="I382" s="7"/>
      <c r="L382" s="7"/>
      <c r="M382" s="3"/>
    </row>
    <row r="383">
      <c r="C383" s="7"/>
      <c r="E383" s="7"/>
      <c r="F383" s="3"/>
      <c r="I383" s="7"/>
      <c r="L383" s="7"/>
      <c r="M383" s="3"/>
    </row>
    <row r="384">
      <c r="C384" s="7"/>
      <c r="E384" s="7"/>
      <c r="F384" s="3"/>
      <c r="I384" s="7"/>
      <c r="L384" s="7"/>
      <c r="M384" s="3"/>
    </row>
    <row r="385">
      <c r="C385" s="7"/>
      <c r="E385" s="7"/>
      <c r="F385" s="3"/>
      <c r="I385" s="7"/>
      <c r="L385" s="7"/>
      <c r="M385" s="3"/>
    </row>
    <row r="386">
      <c r="C386" s="7"/>
      <c r="E386" s="7"/>
      <c r="F386" s="3"/>
      <c r="I386" s="7"/>
      <c r="L386" s="7"/>
      <c r="M386" s="3"/>
    </row>
    <row r="387">
      <c r="C387" s="7"/>
      <c r="E387" s="7"/>
      <c r="F387" s="3"/>
      <c r="I387" s="7"/>
      <c r="L387" s="7"/>
      <c r="M387" s="3"/>
    </row>
    <row r="388">
      <c r="C388" s="7"/>
      <c r="E388" s="7"/>
      <c r="F388" s="3"/>
      <c r="I388" s="7"/>
      <c r="L388" s="7"/>
      <c r="M388" s="3"/>
    </row>
    <row r="389">
      <c r="C389" s="7"/>
      <c r="E389" s="7"/>
      <c r="F389" s="3"/>
      <c r="I389" s="7"/>
      <c r="L389" s="7"/>
      <c r="M389" s="3"/>
    </row>
    <row r="390">
      <c r="C390" s="7"/>
      <c r="E390" s="7"/>
      <c r="F390" s="3"/>
      <c r="I390" s="7"/>
      <c r="L390" s="7"/>
      <c r="M390" s="3"/>
    </row>
    <row r="391">
      <c r="C391" s="7"/>
      <c r="E391" s="7"/>
      <c r="F391" s="3"/>
      <c r="I391" s="7"/>
      <c r="L391" s="7"/>
      <c r="M391" s="3"/>
    </row>
    <row r="392">
      <c r="C392" s="7"/>
      <c r="E392" s="7"/>
      <c r="F392" s="3"/>
      <c r="I392" s="7"/>
      <c r="L392" s="7"/>
      <c r="M392" s="3"/>
    </row>
    <row r="393">
      <c r="C393" s="7"/>
      <c r="E393" s="7"/>
      <c r="F393" s="3"/>
      <c r="I393" s="7"/>
      <c r="L393" s="7"/>
      <c r="M393" s="3"/>
    </row>
    <row r="394">
      <c r="C394" s="7"/>
      <c r="E394" s="7"/>
      <c r="F394" s="3"/>
      <c r="I394" s="7"/>
      <c r="L394" s="7"/>
      <c r="M394" s="3"/>
    </row>
    <row r="395">
      <c r="C395" s="7"/>
      <c r="E395" s="7"/>
      <c r="F395" s="3"/>
      <c r="I395" s="7"/>
      <c r="L395" s="7"/>
      <c r="M395" s="3"/>
    </row>
    <row r="396">
      <c r="C396" s="7"/>
      <c r="E396" s="7"/>
      <c r="F396" s="3"/>
      <c r="I396" s="7"/>
      <c r="L396" s="7"/>
      <c r="M396" s="3"/>
    </row>
    <row r="397">
      <c r="C397" s="7"/>
      <c r="E397" s="7"/>
      <c r="F397" s="3"/>
      <c r="I397" s="7"/>
      <c r="L397" s="7"/>
      <c r="M397" s="3"/>
    </row>
    <row r="398">
      <c r="C398" s="7"/>
      <c r="E398" s="7"/>
      <c r="F398" s="3"/>
      <c r="I398" s="7"/>
      <c r="L398" s="7"/>
      <c r="M398" s="3"/>
    </row>
    <row r="399">
      <c r="C399" s="7"/>
      <c r="E399" s="7"/>
      <c r="F399" s="3"/>
      <c r="I399" s="7"/>
      <c r="L399" s="7"/>
      <c r="M399" s="3"/>
    </row>
    <row r="400">
      <c r="C400" s="7"/>
      <c r="E400" s="7"/>
      <c r="F400" s="3"/>
      <c r="I400" s="7"/>
      <c r="L400" s="7"/>
      <c r="M400" s="3"/>
    </row>
    <row r="401">
      <c r="C401" s="7"/>
      <c r="E401" s="7"/>
      <c r="F401" s="3"/>
      <c r="I401" s="7"/>
      <c r="L401" s="7"/>
      <c r="M401" s="3"/>
    </row>
    <row r="402">
      <c r="C402" s="7"/>
      <c r="E402" s="7"/>
      <c r="F402" s="3"/>
      <c r="I402" s="7"/>
      <c r="L402" s="7"/>
      <c r="M402" s="3"/>
    </row>
    <row r="403">
      <c r="C403" s="7"/>
      <c r="E403" s="7"/>
      <c r="F403" s="3"/>
      <c r="I403" s="7"/>
      <c r="L403" s="7"/>
      <c r="M403" s="3"/>
    </row>
    <row r="404">
      <c r="C404" s="7"/>
      <c r="E404" s="7"/>
      <c r="F404" s="3"/>
      <c r="I404" s="7"/>
      <c r="L404" s="7"/>
      <c r="M404" s="3"/>
    </row>
    <row r="405">
      <c r="C405" s="7"/>
      <c r="E405" s="7"/>
      <c r="F405" s="3"/>
      <c r="I405" s="7"/>
      <c r="L405" s="7"/>
      <c r="M405" s="3"/>
    </row>
    <row r="406">
      <c r="C406" s="7"/>
      <c r="E406" s="7"/>
      <c r="F406" s="3"/>
      <c r="I406" s="7"/>
      <c r="L406" s="7"/>
      <c r="M406" s="3"/>
    </row>
    <row r="407">
      <c r="C407" s="7"/>
      <c r="E407" s="7"/>
      <c r="F407" s="3"/>
      <c r="I407" s="7"/>
      <c r="L407" s="7"/>
      <c r="M407" s="3"/>
    </row>
    <row r="408">
      <c r="C408" s="7"/>
      <c r="E408" s="7"/>
      <c r="F408" s="3"/>
      <c r="I408" s="7"/>
      <c r="L408" s="7"/>
      <c r="M408" s="3"/>
    </row>
    <row r="409">
      <c r="C409" s="7"/>
      <c r="E409" s="7"/>
      <c r="F409" s="3"/>
      <c r="I409" s="7"/>
      <c r="L409" s="7"/>
      <c r="M409" s="3"/>
    </row>
    <row r="410">
      <c r="C410" s="7"/>
      <c r="E410" s="7"/>
      <c r="F410" s="3"/>
      <c r="I410" s="7"/>
      <c r="L410" s="7"/>
      <c r="M410" s="3"/>
    </row>
    <row r="411">
      <c r="C411" s="7"/>
      <c r="E411" s="7"/>
      <c r="F411" s="3"/>
      <c r="I411" s="7"/>
      <c r="L411" s="7"/>
      <c r="M411" s="3"/>
    </row>
    <row r="412">
      <c r="C412" s="7"/>
      <c r="E412" s="7"/>
      <c r="F412" s="3"/>
      <c r="I412" s="7"/>
      <c r="L412" s="7"/>
      <c r="M412" s="3"/>
    </row>
    <row r="413">
      <c r="C413" s="7"/>
      <c r="E413" s="7"/>
      <c r="F413" s="3"/>
      <c r="I413" s="7"/>
      <c r="L413" s="7"/>
      <c r="M413" s="3"/>
    </row>
    <row r="414">
      <c r="C414" s="7"/>
      <c r="E414" s="7"/>
      <c r="F414" s="3"/>
      <c r="I414" s="7"/>
      <c r="L414" s="7"/>
      <c r="M414" s="3"/>
    </row>
    <row r="415">
      <c r="C415" s="7"/>
      <c r="E415" s="7"/>
      <c r="F415" s="3"/>
      <c r="I415" s="7"/>
      <c r="L415" s="7"/>
      <c r="M415" s="3"/>
    </row>
    <row r="416">
      <c r="C416" s="7"/>
      <c r="E416" s="7"/>
      <c r="F416" s="3"/>
      <c r="I416" s="7"/>
      <c r="L416" s="7"/>
      <c r="M416" s="3"/>
    </row>
    <row r="417">
      <c r="C417" s="7"/>
      <c r="E417" s="7"/>
      <c r="F417" s="3"/>
      <c r="I417" s="7"/>
      <c r="L417" s="7"/>
      <c r="M417" s="3"/>
    </row>
    <row r="418">
      <c r="C418" s="7"/>
      <c r="E418" s="7"/>
      <c r="F418" s="3"/>
      <c r="I418" s="7"/>
      <c r="L418" s="7"/>
      <c r="M418" s="3"/>
    </row>
    <row r="419">
      <c r="C419" s="7"/>
      <c r="E419" s="7"/>
      <c r="F419" s="3"/>
      <c r="I419" s="7"/>
      <c r="L419" s="7"/>
      <c r="M419" s="3"/>
    </row>
    <row r="420">
      <c r="C420" s="7"/>
      <c r="E420" s="7"/>
      <c r="F420" s="3"/>
      <c r="I420" s="7"/>
      <c r="L420" s="7"/>
      <c r="M420" s="3"/>
    </row>
    <row r="421">
      <c r="C421" s="7"/>
      <c r="E421" s="7"/>
      <c r="F421" s="3"/>
      <c r="I421" s="7"/>
      <c r="L421" s="7"/>
      <c r="M421" s="3"/>
    </row>
    <row r="422">
      <c r="C422" s="7"/>
      <c r="E422" s="7"/>
      <c r="F422" s="3"/>
      <c r="I422" s="7"/>
      <c r="L422" s="7"/>
      <c r="M422" s="3"/>
    </row>
    <row r="423">
      <c r="C423" s="7"/>
      <c r="E423" s="7"/>
      <c r="F423" s="3"/>
      <c r="I423" s="7"/>
      <c r="L423" s="7"/>
      <c r="M423" s="3"/>
    </row>
    <row r="424">
      <c r="C424" s="7"/>
      <c r="E424" s="7"/>
      <c r="F424" s="3"/>
      <c r="I424" s="7"/>
      <c r="L424" s="7"/>
      <c r="M424" s="3"/>
    </row>
    <row r="425">
      <c r="C425" s="7"/>
      <c r="E425" s="7"/>
      <c r="F425" s="3"/>
      <c r="I425" s="7"/>
      <c r="L425" s="7"/>
      <c r="M425" s="3"/>
    </row>
    <row r="426">
      <c r="C426" s="7"/>
      <c r="E426" s="7"/>
      <c r="F426" s="3"/>
      <c r="I426" s="7"/>
      <c r="L426" s="7"/>
      <c r="M426" s="3"/>
    </row>
    <row r="427">
      <c r="C427" s="7"/>
      <c r="E427" s="7"/>
      <c r="F427" s="3"/>
      <c r="I427" s="7"/>
      <c r="L427" s="7"/>
      <c r="M427" s="3"/>
    </row>
    <row r="428">
      <c r="C428" s="7"/>
      <c r="E428" s="7"/>
      <c r="F428" s="3"/>
      <c r="I428" s="7"/>
      <c r="L428" s="7"/>
      <c r="M428" s="3"/>
    </row>
    <row r="429">
      <c r="C429" s="7"/>
      <c r="E429" s="7"/>
      <c r="F429" s="3"/>
      <c r="I429" s="7"/>
      <c r="L429" s="7"/>
      <c r="M429" s="3"/>
    </row>
    <row r="430">
      <c r="C430" s="7"/>
      <c r="E430" s="7"/>
      <c r="F430" s="3"/>
      <c r="I430" s="7"/>
      <c r="L430" s="7"/>
      <c r="M430" s="3"/>
    </row>
    <row r="431">
      <c r="C431" s="7"/>
      <c r="E431" s="7"/>
      <c r="F431" s="3"/>
      <c r="I431" s="7"/>
      <c r="L431" s="7"/>
      <c r="M431" s="3"/>
    </row>
    <row r="432">
      <c r="C432" s="7"/>
      <c r="E432" s="7"/>
      <c r="F432" s="3"/>
      <c r="I432" s="7"/>
      <c r="L432" s="7"/>
      <c r="M432" s="3"/>
    </row>
    <row r="433">
      <c r="C433" s="7"/>
      <c r="E433" s="7"/>
      <c r="F433" s="3"/>
      <c r="I433" s="7"/>
      <c r="L433" s="7"/>
      <c r="M433" s="3"/>
    </row>
    <row r="434">
      <c r="C434" s="7"/>
      <c r="E434" s="7"/>
      <c r="F434" s="3"/>
      <c r="I434" s="7"/>
      <c r="L434" s="7"/>
      <c r="M434" s="3"/>
    </row>
    <row r="435">
      <c r="C435" s="7"/>
      <c r="E435" s="7"/>
      <c r="F435" s="3"/>
      <c r="I435" s="7"/>
      <c r="L435" s="7"/>
      <c r="M435" s="3"/>
    </row>
    <row r="436">
      <c r="C436" s="7"/>
      <c r="E436" s="7"/>
      <c r="F436" s="3"/>
      <c r="I436" s="7"/>
      <c r="L436" s="7"/>
      <c r="M436" s="3"/>
    </row>
    <row r="437">
      <c r="C437" s="7"/>
      <c r="E437" s="7"/>
      <c r="F437" s="3"/>
      <c r="I437" s="7"/>
      <c r="L437" s="7"/>
      <c r="M437" s="3"/>
    </row>
    <row r="438">
      <c r="C438" s="7"/>
      <c r="E438" s="7"/>
      <c r="F438" s="3"/>
      <c r="I438" s="7"/>
      <c r="L438" s="7"/>
      <c r="M438" s="3"/>
    </row>
    <row r="439">
      <c r="C439" s="7"/>
      <c r="E439" s="7"/>
      <c r="F439" s="3"/>
      <c r="I439" s="7"/>
      <c r="L439" s="7"/>
      <c r="M439" s="3"/>
    </row>
    <row r="440">
      <c r="C440" s="7"/>
      <c r="E440" s="7"/>
      <c r="F440" s="3"/>
      <c r="I440" s="7"/>
      <c r="L440" s="7"/>
      <c r="M440" s="3"/>
    </row>
    <row r="441">
      <c r="C441" s="7"/>
      <c r="E441" s="7"/>
      <c r="F441" s="3"/>
      <c r="I441" s="7"/>
      <c r="L441" s="7"/>
      <c r="M441" s="3"/>
    </row>
    <row r="442">
      <c r="C442" s="7"/>
      <c r="E442" s="7"/>
      <c r="F442" s="3"/>
      <c r="I442" s="7"/>
      <c r="L442" s="7"/>
      <c r="M442" s="3"/>
    </row>
    <row r="443">
      <c r="C443" s="7"/>
      <c r="E443" s="7"/>
      <c r="F443" s="3"/>
      <c r="I443" s="7"/>
      <c r="L443" s="7"/>
      <c r="M443" s="3"/>
    </row>
    <row r="444">
      <c r="C444" s="7"/>
      <c r="E444" s="7"/>
      <c r="F444" s="3"/>
      <c r="I444" s="7"/>
      <c r="L444" s="7"/>
      <c r="M444" s="3"/>
    </row>
    <row r="445">
      <c r="C445" s="7"/>
      <c r="E445" s="7"/>
      <c r="F445" s="3"/>
      <c r="I445" s="7"/>
      <c r="L445" s="7"/>
      <c r="M445" s="3"/>
    </row>
    <row r="446">
      <c r="C446" s="7"/>
      <c r="E446" s="7"/>
      <c r="F446" s="3"/>
      <c r="I446" s="7"/>
      <c r="L446" s="7"/>
      <c r="M446" s="3"/>
    </row>
    <row r="447">
      <c r="C447" s="7"/>
      <c r="E447" s="7"/>
      <c r="F447" s="3"/>
      <c r="I447" s="7"/>
      <c r="L447" s="7"/>
      <c r="M447" s="3"/>
    </row>
    <row r="448">
      <c r="C448" s="7"/>
      <c r="E448" s="7"/>
      <c r="F448" s="3"/>
      <c r="I448" s="7"/>
      <c r="L448" s="7"/>
      <c r="M448" s="3"/>
    </row>
    <row r="449">
      <c r="C449" s="7"/>
      <c r="E449" s="7"/>
      <c r="F449" s="3"/>
      <c r="I449" s="7"/>
      <c r="L449" s="7"/>
      <c r="M449" s="3"/>
    </row>
    <row r="450">
      <c r="C450" s="7"/>
      <c r="E450" s="7"/>
      <c r="F450" s="3"/>
      <c r="I450" s="7"/>
      <c r="L450" s="7"/>
      <c r="M450" s="3"/>
    </row>
    <row r="451">
      <c r="C451" s="7"/>
      <c r="E451" s="7"/>
      <c r="F451" s="3"/>
      <c r="I451" s="7"/>
      <c r="L451" s="7"/>
      <c r="M451" s="3"/>
    </row>
    <row r="452">
      <c r="C452" s="7"/>
      <c r="E452" s="7"/>
      <c r="F452" s="3"/>
      <c r="I452" s="7"/>
      <c r="L452" s="7"/>
      <c r="M452" s="3"/>
    </row>
    <row r="453">
      <c r="C453" s="7"/>
      <c r="E453" s="7"/>
      <c r="F453" s="3"/>
      <c r="I453" s="7"/>
      <c r="L453" s="7"/>
      <c r="M453" s="3"/>
    </row>
    <row r="454">
      <c r="C454" s="7"/>
      <c r="E454" s="7"/>
      <c r="F454" s="3"/>
      <c r="I454" s="7"/>
      <c r="L454" s="7"/>
      <c r="M454" s="3"/>
    </row>
    <row r="455">
      <c r="C455" s="7"/>
      <c r="E455" s="7"/>
      <c r="F455" s="3"/>
      <c r="I455" s="7"/>
      <c r="L455" s="7"/>
      <c r="M455" s="3"/>
    </row>
    <row r="456">
      <c r="C456" s="7"/>
      <c r="E456" s="7"/>
      <c r="F456" s="3"/>
      <c r="I456" s="7"/>
      <c r="L456" s="7"/>
      <c r="M456" s="3"/>
    </row>
    <row r="457">
      <c r="C457" s="7"/>
      <c r="E457" s="7"/>
      <c r="F457" s="3"/>
      <c r="I457" s="7"/>
      <c r="L457" s="7"/>
      <c r="M457" s="3"/>
    </row>
    <row r="458">
      <c r="C458" s="7"/>
      <c r="E458" s="7"/>
      <c r="F458" s="3"/>
      <c r="I458" s="7"/>
      <c r="L458" s="7"/>
      <c r="M458" s="3"/>
    </row>
    <row r="459">
      <c r="C459" s="7"/>
      <c r="E459" s="7"/>
      <c r="F459" s="3"/>
      <c r="I459" s="7"/>
      <c r="L459" s="7"/>
      <c r="M459" s="3"/>
    </row>
    <row r="460">
      <c r="C460" s="7"/>
      <c r="E460" s="7"/>
      <c r="F460" s="3"/>
      <c r="I460" s="7"/>
      <c r="L460" s="7"/>
      <c r="M460" s="3"/>
    </row>
    <row r="461">
      <c r="C461" s="7"/>
      <c r="E461" s="7"/>
      <c r="F461" s="3"/>
      <c r="I461" s="7"/>
      <c r="L461" s="7"/>
      <c r="M461" s="3"/>
    </row>
    <row r="462">
      <c r="C462" s="7"/>
      <c r="E462" s="7"/>
      <c r="F462" s="3"/>
      <c r="I462" s="7"/>
      <c r="L462" s="7"/>
      <c r="M462" s="3"/>
    </row>
    <row r="463">
      <c r="C463" s="7"/>
      <c r="E463" s="7"/>
      <c r="F463" s="3"/>
      <c r="I463" s="7"/>
      <c r="L463" s="7"/>
      <c r="M463" s="3"/>
    </row>
    <row r="464">
      <c r="C464" s="7"/>
      <c r="E464" s="7"/>
      <c r="F464" s="3"/>
      <c r="I464" s="7"/>
      <c r="L464" s="7"/>
      <c r="M464" s="3"/>
    </row>
    <row r="465">
      <c r="C465" s="7"/>
      <c r="E465" s="7"/>
      <c r="F465" s="3"/>
      <c r="I465" s="7"/>
      <c r="L465" s="7"/>
      <c r="M465" s="3"/>
    </row>
    <row r="466">
      <c r="C466" s="7"/>
      <c r="E466" s="7"/>
      <c r="F466" s="3"/>
      <c r="I466" s="7"/>
      <c r="L466" s="7"/>
      <c r="M466" s="3"/>
    </row>
    <row r="467">
      <c r="C467" s="7"/>
      <c r="E467" s="7"/>
      <c r="F467" s="3"/>
      <c r="I467" s="7"/>
      <c r="L467" s="7"/>
      <c r="M467" s="3"/>
    </row>
    <row r="468">
      <c r="C468" s="7"/>
      <c r="E468" s="7"/>
      <c r="F468" s="3"/>
      <c r="I468" s="7"/>
      <c r="L468" s="7"/>
      <c r="M468" s="3"/>
    </row>
    <row r="469">
      <c r="C469" s="7"/>
      <c r="E469" s="7"/>
      <c r="F469" s="3"/>
      <c r="I469" s="7"/>
      <c r="L469" s="7"/>
      <c r="M469" s="3"/>
    </row>
    <row r="470">
      <c r="C470" s="7"/>
      <c r="E470" s="7"/>
      <c r="F470" s="3"/>
      <c r="I470" s="7"/>
      <c r="L470" s="7"/>
      <c r="M470" s="3"/>
    </row>
    <row r="471">
      <c r="C471" s="7"/>
      <c r="E471" s="7"/>
      <c r="F471" s="3"/>
      <c r="I471" s="7"/>
      <c r="L471" s="7"/>
      <c r="M471" s="3"/>
    </row>
    <row r="472">
      <c r="C472" s="7"/>
      <c r="E472" s="7"/>
      <c r="F472" s="3"/>
      <c r="I472" s="7"/>
      <c r="L472" s="7"/>
      <c r="M472" s="3"/>
    </row>
    <row r="473">
      <c r="C473" s="7"/>
      <c r="E473" s="7"/>
      <c r="F473" s="3"/>
      <c r="I473" s="7"/>
      <c r="L473" s="7"/>
      <c r="M473" s="3"/>
    </row>
    <row r="474">
      <c r="C474" s="7"/>
      <c r="E474" s="7"/>
      <c r="F474" s="3"/>
      <c r="I474" s="7"/>
      <c r="L474" s="7"/>
      <c r="M474" s="3"/>
    </row>
    <row r="475">
      <c r="C475" s="7"/>
      <c r="E475" s="7"/>
      <c r="F475" s="3"/>
      <c r="I475" s="7"/>
      <c r="L475" s="7"/>
      <c r="M475" s="3"/>
    </row>
    <row r="476">
      <c r="C476" s="7"/>
      <c r="E476" s="7"/>
      <c r="F476" s="3"/>
      <c r="I476" s="7"/>
      <c r="L476" s="7"/>
      <c r="M476" s="3"/>
    </row>
    <row r="477">
      <c r="C477" s="7"/>
      <c r="E477" s="7"/>
      <c r="F477" s="3"/>
      <c r="I477" s="7"/>
      <c r="L477" s="7"/>
      <c r="M477" s="3"/>
    </row>
    <row r="478">
      <c r="C478" s="7"/>
      <c r="E478" s="7"/>
      <c r="F478" s="3"/>
      <c r="I478" s="7"/>
      <c r="L478" s="7"/>
      <c r="M478" s="3"/>
    </row>
    <row r="479">
      <c r="C479" s="7"/>
      <c r="E479" s="7"/>
      <c r="F479" s="3"/>
      <c r="I479" s="7"/>
      <c r="L479" s="7"/>
      <c r="M479" s="3"/>
    </row>
    <row r="480">
      <c r="C480" s="7"/>
      <c r="E480" s="7"/>
      <c r="F480" s="3"/>
      <c r="I480" s="7"/>
      <c r="L480" s="7"/>
      <c r="M480" s="3"/>
    </row>
    <row r="481">
      <c r="C481" s="7"/>
      <c r="E481" s="7"/>
      <c r="F481" s="3"/>
      <c r="I481" s="7"/>
      <c r="L481" s="7"/>
      <c r="M481" s="3"/>
    </row>
    <row r="482">
      <c r="C482" s="7"/>
      <c r="E482" s="7"/>
      <c r="F482" s="3"/>
      <c r="I482" s="7"/>
      <c r="L482" s="7"/>
      <c r="M482" s="3"/>
    </row>
    <row r="483">
      <c r="C483" s="7"/>
      <c r="E483" s="7"/>
      <c r="F483" s="3"/>
      <c r="I483" s="7"/>
      <c r="L483" s="7"/>
      <c r="M483" s="3"/>
    </row>
    <row r="484">
      <c r="C484" s="7"/>
      <c r="E484" s="7"/>
      <c r="F484" s="3"/>
      <c r="I484" s="7"/>
      <c r="L484" s="7"/>
      <c r="M484" s="3"/>
    </row>
    <row r="485">
      <c r="C485" s="7"/>
      <c r="E485" s="7"/>
      <c r="F485" s="3"/>
      <c r="I485" s="7"/>
      <c r="L485" s="7"/>
      <c r="M485" s="3"/>
    </row>
    <row r="486">
      <c r="C486" s="7"/>
      <c r="E486" s="7"/>
      <c r="F486" s="3"/>
      <c r="I486" s="7"/>
      <c r="L486" s="7"/>
      <c r="M486" s="3"/>
    </row>
    <row r="487">
      <c r="C487" s="7"/>
      <c r="E487" s="7"/>
      <c r="F487" s="3"/>
      <c r="I487" s="7"/>
      <c r="L487" s="7"/>
      <c r="M487" s="3"/>
    </row>
    <row r="488">
      <c r="C488" s="7"/>
      <c r="E488" s="7"/>
      <c r="F488" s="3"/>
      <c r="I488" s="7"/>
      <c r="L488" s="7"/>
      <c r="M488" s="3"/>
    </row>
    <row r="489">
      <c r="C489" s="7"/>
      <c r="E489" s="7"/>
      <c r="F489" s="3"/>
      <c r="I489" s="7"/>
      <c r="L489" s="7"/>
      <c r="M489" s="3"/>
    </row>
    <row r="490">
      <c r="C490" s="7"/>
      <c r="E490" s="7"/>
      <c r="F490" s="3"/>
      <c r="I490" s="7"/>
      <c r="L490" s="7"/>
      <c r="M490" s="3"/>
    </row>
    <row r="491">
      <c r="C491" s="7"/>
      <c r="E491" s="7"/>
      <c r="F491" s="3"/>
      <c r="I491" s="7"/>
      <c r="L491" s="7"/>
      <c r="M491" s="3"/>
    </row>
    <row r="492">
      <c r="C492" s="7"/>
      <c r="E492" s="7"/>
      <c r="F492" s="3"/>
      <c r="I492" s="7"/>
      <c r="L492" s="7"/>
      <c r="M492" s="3"/>
    </row>
    <row r="493">
      <c r="C493" s="7"/>
      <c r="E493" s="7"/>
      <c r="F493" s="3"/>
      <c r="I493" s="7"/>
      <c r="L493" s="7"/>
      <c r="M493" s="3"/>
    </row>
    <row r="494">
      <c r="C494" s="7"/>
      <c r="E494" s="7"/>
      <c r="F494" s="3"/>
      <c r="I494" s="7"/>
      <c r="L494" s="7"/>
      <c r="M494" s="3"/>
    </row>
    <row r="495">
      <c r="C495" s="7"/>
      <c r="E495" s="7"/>
      <c r="F495" s="3"/>
      <c r="I495" s="7"/>
      <c r="L495" s="7"/>
      <c r="M495" s="3"/>
    </row>
    <row r="496">
      <c r="C496" s="7"/>
      <c r="E496" s="7"/>
      <c r="F496" s="3"/>
      <c r="I496" s="7"/>
      <c r="L496" s="7"/>
      <c r="M496" s="3"/>
    </row>
    <row r="497">
      <c r="C497" s="7"/>
      <c r="E497" s="7"/>
      <c r="F497" s="3"/>
      <c r="I497" s="7"/>
      <c r="L497" s="7"/>
      <c r="M497" s="3"/>
    </row>
    <row r="498">
      <c r="C498" s="7"/>
      <c r="E498" s="7"/>
      <c r="F498" s="3"/>
      <c r="I498" s="7"/>
      <c r="L498" s="7"/>
      <c r="M498" s="3"/>
    </row>
    <row r="499">
      <c r="C499" s="7"/>
      <c r="E499" s="7"/>
      <c r="F499" s="3"/>
      <c r="I499" s="7"/>
      <c r="L499" s="7"/>
      <c r="M499" s="3"/>
    </row>
    <row r="500">
      <c r="C500" s="7"/>
      <c r="E500" s="7"/>
      <c r="F500" s="3"/>
      <c r="I500" s="7"/>
      <c r="L500" s="7"/>
      <c r="M500" s="3"/>
    </row>
    <row r="501">
      <c r="C501" s="7"/>
      <c r="E501" s="7"/>
      <c r="F501" s="3"/>
      <c r="I501" s="7"/>
      <c r="L501" s="7"/>
      <c r="M501" s="3"/>
    </row>
    <row r="502">
      <c r="C502" s="7"/>
      <c r="E502" s="7"/>
      <c r="F502" s="3"/>
      <c r="I502" s="7"/>
      <c r="L502" s="7"/>
      <c r="M502" s="3"/>
    </row>
    <row r="503">
      <c r="C503" s="7"/>
      <c r="E503" s="7"/>
      <c r="F503" s="3"/>
      <c r="I503" s="7"/>
      <c r="L503" s="7"/>
      <c r="M503" s="3"/>
    </row>
    <row r="504">
      <c r="C504" s="7"/>
      <c r="E504" s="7"/>
      <c r="F504" s="3"/>
      <c r="I504" s="7"/>
      <c r="L504" s="7"/>
      <c r="M504" s="3"/>
    </row>
    <row r="505">
      <c r="C505" s="7"/>
      <c r="E505" s="7"/>
      <c r="F505" s="3"/>
      <c r="I505" s="7"/>
      <c r="L505" s="7"/>
      <c r="M505" s="3"/>
    </row>
    <row r="506">
      <c r="C506" s="7"/>
      <c r="E506" s="7"/>
      <c r="F506" s="3"/>
      <c r="I506" s="7"/>
      <c r="L506" s="7"/>
      <c r="M506" s="3"/>
    </row>
    <row r="507">
      <c r="C507" s="7"/>
      <c r="E507" s="7"/>
      <c r="F507" s="3"/>
      <c r="I507" s="7"/>
      <c r="L507" s="7"/>
      <c r="M507" s="3"/>
    </row>
    <row r="508">
      <c r="C508" s="7"/>
      <c r="E508" s="7"/>
      <c r="F508" s="3"/>
      <c r="I508" s="7"/>
      <c r="L508" s="7"/>
      <c r="M508" s="3"/>
    </row>
    <row r="509">
      <c r="C509" s="7"/>
      <c r="E509" s="7"/>
      <c r="F509" s="3"/>
      <c r="I509" s="7"/>
      <c r="L509" s="7"/>
      <c r="M509" s="3"/>
    </row>
    <row r="510">
      <c r="C510" s="7"/>
      <c r="E510" s="7"/>
      <c r="F510" s="3"/>
      <c r="I510" s="7"/>
      <c r="L510" s="7"/>
      <c r="M510" s="3"/>
    </row>
    <row r="511">
      <c r="C511" s="7"/>
      <c r="E511" s="7"/>
      <c r="F511" s="3"/>
      <c r="I511" s="7"/>
      <c r="L511" s="7"/>
      <c r="M511" s="3"/>
    </row>
    <row r="512">
      <c r="C512" s="7"/>
      <c r="E512" s="7"/>
      <c r="F512" s="3"/>
      <c r="I512" s="7"/>
      <c r="L512" s="7"/>
      <c r="M512" s="3"/>
    </row>
    <row r="513">
      <c r="C513" s="7"/>
      <c r="E513" s="7"/>
      <c r="F513" s="3"/>
      <c r="I513" s="7"/>
      <c r="L513" s="7"/>
      <c r="M513" s="3"/>
    </row>
    <row r="514">
      <c r="C514" s="7"/>
      <c r="E514" s="7"/>
      <c r="F514" s="3"/>
      <c r="I514" s="7"/>
      <c r="L514" s="7"/>
      <c r="M514" s="3"/>
    </row>
    <row r="515">
      <c r="C515" s="7"/>
      <c r="E515" s="7"/>
      <c r="F515" s="3"/>
      <c r="I515" s="7"/>
      <c r="L515" s="7"/>
      <c r="M515" s="3"/>
    </row>
    <row r="516">
      <c r="C516" s="7"/>
      <c r="E516" s="7"/>
      <c r="F516" s="3"/>
      <c r="I516" s="7"/>
      <c r="L516" s="7"/>
      <c r="M516" s="3"/>
    </row>
    <row r="517">
      <c r="C517" s="7"/>
      <c r="E517" s="7"/>
      <c r="F517" s="3"/>
      <c r="I517" s="7"/>
      <c r="L517" s="7"/>
      <c r="M517" s="3"/>
    </row>
    <row r="518">
      <c r="C518" s="7"/>
      <c r="E518" s="7"/>
      <c r="F518" s="3"/>
      <c r="I518" s="7"/>
      <c r="L518" s="7"/>
      <c r="M518" s="3"/>
    </row>
    <row r="519">
      <c r="C519" s="7"/>
      <c r="E519" s="7"/>
      <c r="F519" s="3"/>
      <c r="I519" s="7"/>
      <c r="L519" s="7"/>
      <c r="M519" s="3"/>
    </row>
    <row r="520">
      <c r="C520" s="7"/>
      <c r="E520" s="7"/>
      <c r="F520" s="3"/>
      <c r="I520" s="7"/>
      <c r="L520" s="7"/>
      <c r="M520" s="3"/>
    </row>
    <row r="521">
      <c r="C521" s="7"/>
      <c r="E521" s="7"/>
      <c r="F521" s="3"/>
      <c r="I521" s="7"/>
      <c r="L521" s="7"/>
      <c r="M521" s="3"/>
    </row>
    <row r="522">
      <c r="C522" s="7"/>
      <c r="E522" s="7"/>
      <c r="F522" s="3"/>
      <c r="I522" s="7"/>
      <c r="L522" s="7"/>
      <c r="M522" s="3"/>
    </row>
    <row r="523">
      <c r="C523" s="7"/>
      <c r="E523" s="7"/>
      <c r="F523" s="3"/>
      <c r="I523" s="7"/>
      <c r="L523" s="7"/>
      <c r="M523" s="3"/>
    </row>
    <row r="524">
      <c r="C524" s="7"/>
      <c r="E524" s="7"/>
      <c r="F524" s="3"/>
      <c r="I524" s="7"/>
      <c r="L524" s="7"/>
      <c r="M524" s="3"/>
    </row>
    <row r="525">
      <c r="C525" s="7"/>
      <c r="E525" s="7"/>
      <c r="F525" s="3"/>
      <c r="I525" s="7"/>
      <c r="L525" s="7"/>
      <c r="M525" s="3"/>
    </row>
    <row r="526">
      <c r="C526" s="7"/>
      <c r="E526" s="7"/>
      <c r="F526" s="3"/>
      <c r="I526" s="7"/>
      <c r="L526" s="7"/>
      <c r="M526" s="3"/>
    </row>
    <row r="527">
      <c r="C527" s="7"/>
      <c r="E527" s="7"/>
      <c r="F527" s="3"/>
      <c r="I527" s="7"/>
      <c r="L527" s="7"/>
      <c r="M527" s="3"/>
    </row>
    <row r="528">
      <c r="C528" s="7"/>
      <c r="E528" s="7"/>
      <c r="F528" s="3"/>
      <c r="I528" s="7"/>
      <c r="L528" s="7"/>
      <c r="M528" s="3"/>
    </row>
    <row r="529">
      <c r="C529" s="7"/>
      <c r="E529" s="7"/>
      <c r="F529" s="3"/>
      <c r="I529" s="7"/>
      <c r="L529" s="7"/>
      <c r="M529" s="3"/>
    </row>
    <row r="530">
      <c r="C530" s="7"/>
      <c r="E530" s="7"/>
      <c r="F530" s="3"/>
      <c r="I530" s="7"/>
      <c r="L530" s="7"/>
      <c r="M530" s="3"/>
    </row>
    <row r="531">
      <c r="C531" s="7"/>
      <c r="E531" s="7"/>
      <c r="F531" s="3"/>
      <c r="I531" s="7"/>
      <c r="L531" s="7"/>
      <c r="M531" s="3"/>
    </row>
    <row r="532">
      <c r="C532" s="7"/>
      <c r="E532" s="7"/>
      <c r="F532" s="3"/>
      <c r="I532" s="7"/>
      <c r="L532" s="7"/>
      <c r="M532" s="3"/>
    </row>
    <row r="533">
      <c r="C533" s="7"/>
      <c r="E533" s="7"/>
      <c r="F533" s="3"/>
      <c r="I533" s="7"/>
      <c r="L533" s="7"/>
      <c r="M533" s="3"/>
    </row>
    <row r="534">
      <c r="C534" s="7"/>
      <c r="E534" s="7"/>
      <c r="F534" s="3"/>
      <c r="I534" s="7"/>
      <c r="L534" s="7"/>
      <c r="M534" s="3"/>
    </row>
    <row r="535">
      <c r="C535" s="7"/>
      <c r="E535" s="7"/>
      <c r="F535" s="3"/>
      <c r="I535" s="7"/>
      <c r="L535" s="7"/>
      <c r="M535" s="3"/>
    </row>
    <row r="536">
      <c r="C536" s="7"/>
      <c r="E536" s="7"/>
      <c r="F536" s="3"/>
      <c r="I536" s="7"/>
      <c r="L536" s="7"/>
      <c r="M536" s="3"/>
    </row>
    <row r="537">
      <c r="C537" s="7"/>
      <c r="E537" s="7"/>
      <c r="F537" s="3"/>
      <c r="I537" s="7"/>
      <c r="L537" s="7"/>
      <c r="M537" s="3"/>
    </row>
    <row r="538">
      <c r="C538" s="7"/>
      <c r="E538" s="7"/>
      <c r="F538" s="3"/>
      <c r="I538" s="7"/>
      <c r="L538" s="7"/>
      <c r="M538" s="3"/>
    </row>
    <row r="539">
      <c r="C539" s="7"/>
      <c r="E539" s="7"/>
      <c r="F539" s="3"/>
      <c r="I539" s="7"/>
      <c r="L539" s="7"/>
      <c r="M539" s="3"/>
    </row>
    <row r="540">
      <c r="C540" s="7"/>
      <c r="E540" s="7"/>
      <c r="F540" s="3"/>
      <c r="I540" s="7"/>
      <c r="L540" s="7"/>
      <c r="M540" s="3"/>
    </row>
    <row r="541">
      <c r="C541" s="7"/>
      <c r="E541" s="7"/>
      <c r="F541" s="3"/>
      <c r="I541" s="7"/>
      <c r="L541" s="7"/>
      <c r="M541" s="3"/>
    </row>
    <row r="542">
      <c r="C542" s="7"/>
      <c r="E542" s="7"/>
      <c r="F542" s="3"/>
      <c r="I542" s="7"/>
      <c r="L542" s="7"/>
      <c r="M542" s="3"/>
    </row>
    <row r="543">
      <c r="C543" s="7"/>
      <c r="E543" s="7"/>
      <c r="F543" s="3"/>
      <c r="I543" s="7"/>
      <c r="L543" s="7"/>
      <c r="M543" s="3"/>
    </row>
    <row r="544">
      <c r="C544" s="7"/>
      <c r="E544" s="7"/>
      <c r="F544" s="3"/>
      <c r="I544" s="7"/>
      <c r="L544" s="7"/>
      <c r="M544" s="3"/>
    </row>
    <row r="545">
      <c r="C545" s="7"/>
      <c r="E545" s="7"/>
      <c r="F545" s="3"/>
      <c r="I545" s="7"/>
      <c r="L545" s="7"/>
      <c r="M545" s="3"/>
    </row>
    <row r="546">
      <c r="C546" s="7"/>
      <c r="E546" s="7"/>
      <c r="F546" s="3"/>
      <c r="I546" s="7"/>
      <c r="L546" s="7"/>
      <c r="M546" s="3"/>
    </row>
    <row r="547">
      <c r="C547" s="7"/>
      <c r="E547" s="7"/>
      <c r="F547" s="3"/>
      <c r="I547" s="7"/>
      <c r="L547" s="7"/>
      <c r="M547" s="3"/>
    </row>
    <row r="548">
      <c r="C548" s="7"/>
      <c r="E548" s="7"/>
      <c r="F548" s="3"/>
      <c r="I548" s="7"/>
      <c r="L548" s="7"/>
      <c r="M548" s="3"/>
    </row>
    <row r="549">
      <c r="C549" s="7"/>
      <c r="E549" s="7"/>
      <c r="F549" s="3"/>
      <c r="I549" s="7"/>
      <c r="L549" s="7"/>
      <c r="M549" s="3"/>
    </row>
    <row r="550">
      <c r="C550" s="7"/>
      <c r="E550" s="7"/>
      <c r="F550" s="3"/>
      <c r="I550" s="7"/>
      <c r="L550" s="7"/>
      <c r="M550" s="3"/>
    </row>
    <row r="551">
      <c r="C551" s="7"/>
      <c r="E551" s="7"/>
      <c r="F551" s="3"/>
      <c r="I551" s="7"/>
      <c r="L551" s="7"/>
      <c r="M551" s="3"/>
    </row>
    <row r="552">
      <c r="C552" s="7"/>
      <c r="E552" s="7"/>
      <c r="F552" s="3"/>
      <c r="I552" s="7"/>
      <c r="L552" s="7"/>
      <c r="M552" s="3"/>
    </row>
    <row r="553">
      <c r="C553" s="7"/>
      <c r="E553" s="7"/>
      <c r="F553" s="3"/>
      <c r="I553" s="7"/>
      <c r="L553" s="7"/>
      <c r="M553" s="3"/>
    </row>
    <row r="554">
      <c r="C554" s="7"/>
      <c r="E554" s="7"/>
      <c r="F554" s="3"/>
      <c r="I554" s="7"/>
      <c r="L554" s="7"/>
      <c r="M554" s="3"/>
    </row>
    <row r="555">
      <c r="C555" s="7"/>
      <c r="E555" s="7"/>
      <c r="F555" s="3"/>
      <c r="I555" s="7"/>
      <c r="L555" s="7"/>
      <c r="M555" s="3"/>
    </row>
    <row r="556">
      <c r="C556" s="7"/>
      <c r="E556" s="7"/>
      <c r="F556" s="3"/>
      <c r="I556" s="7"/>
      <c r="L556" s="7"/>
      <c r="M556" s="3"/>
    </row>
    <row r="557">
      <c r="C557" s="7"/>
      <c r="E557" s="7"/>
      <c r="F557" s="3"/>
      <c r="I557" s="7"/>
      <c r="L557" s="7"/>
      <c r="M557" s="3"/>
    </row>
    <row r="558">
      <c r="C558" s="7"/>
      <c r="E558" s="7"/>
      <c r="F558" s="3"/>
      <c r="I558" s="7"/>
      <c r="L558" s="7"/>
      <c r="M558" s="3"/>
    </row>
    <row r="559">
      <c r="C559" s="7"/>
      <c r="E559" s="7"/>
      <c r="F559" s="3"/>
      <c r="I559" s="7"/>
      <c r="L559" s="7"/>
      <c r="M559" s="3"/>
    </row>
    <row r="560">
      <c r="C560" s="7"/>
      <c r="E560" s="7"/>
      <c r="F560" s="3"/>
      <c r="I560" s="7"/>
      <c r="L560" s="7"/>
      <c r="M560" s="3"/>
    </row>
    <row r="561">
      <c r="C561" s="7"/>
      <c r="E561" s="7"/>
      <c r="F561" s="3"/>
      <c r="I561" s="7"/>
      <c r="L561" s="7"/>
      <c r="M561" s="3"/>
    </row>
    <row r="562">
      <c r="C562" s="7"/>
      <c r="E562" s="7"/>
      <c r="F562" s="3"/>
      <c r="I562" s="7"/>
      <c r="L562" s="7"/>
      <c r="M562" s="3"/>
    </row>
    <row r="563">
      <c r="C563" s="7"/>
      <c r="E563" s="7"/>
      <c r="F563" s="3"/>
      <c r="I563" s="7"/>
      <c r="L563" s="7"/>
      <c r="M563" s="3"/>
    </row>
    <row r="564">
      <c r="C564" s="7"/>
      <c r="E564" s="7"/>
      <c r="F564" s="3"/>
      <c r="I564" s="7"/>
      <c r="L564" s="7"/>
      <c r="M564" s="3"/>
    </row>
    <row r="565">
      <c r="C565" s="7"/>
      <c r="E565" s="7"/>
      <c r="F565" s="3"/>
      <c r="I565" s="7"/>
      <c r="L565" s="7"/>
      <c r="M565" s="3"/>
    </row>
    <row r="566">
      <c r="C566" s="7"/>
      <c r="E566" s="7"/>
      <c r="F566" s="3"/>
      <c r="I566" s="7"/>
      <c r="L566" s="7"/>
      <c r="M566" s="3"/>
    </row>
    <row r="567">
      <c r="C567" s="7"/>
      <c r="E567" s="7"/>
      <c r="F567" s="3"/>
      <c r="I567" s="7"/>
      <c r="L567" s="7"/>
      <c r="M567" s="3"/>
    </row>
    <row r="568">
      <c r="C568" s="7"/>
      <c r="E568" s="7"/>
      <c r="F568" s="3"/>
      <c r="I568" s="7"/>
      <c r="L568" s="7"/>
      <c r="M568" s="3"/>
    </row>
    <row r="569">
      <c r="C569" s="7"/>
      <c r="E569" s="7"/>
      <c r="F569" s="3"/>
      <c r="I569" s="7"/>
      <c r="L569" s="7"/>
      <c r="M569" s="3"/>
    </row>
    <row r="570">
      <c r="C570" s="7"/>
      <c r="E570" s="7"/>
      <c r="F570" s="3"/>
      <c r="I570" s="7"/>
      <c r="L570" s="7"/>
      <c r="M570" s="3"/>
    </row>
    <row r="571">
      <c r="C571" s="7"/>
      <c r="E571" s="7"/>
      <c r="F571" s="3"/>
      <c r="I571" s="7"/>
      <c r="L571" s="7"/>
      <c r="M571" s="3"/>
    </row>
    <row r="572">
      <c r="C572" s="7"/>
      <c r="E572" s="7"/>
      <c r="F572" s="3"/>
      <c r="I572" s="7"/>
      <c r="L572" s="7"/>
      <c r="M572" s="3"/>
    </row>
    <row r="573">
      <c r="C573" s="7"/>
      <c r="E573" s="7"/>
      <c r="F573" s="3"/>
      <c r="I573" s="7"/>
      <c r="L573" s="7"/>
      <c r="M573" s="3"/>
    </row>
    <row r="574">
      <c r="C574" s="7"/>
      <c r="E574" s="7"/>
      <c r="F574" s="3"/>
      <c r="I574" s="7"/>
      <c r="L574" s="7"/>
      <c r="M574" s="3"/>
    </row>
    <row r="575">
      <c r="C575" s="7"/>
      <c r="E575" s="7"/>
      <c r="F575" s="3"/>
      <c r="I575" s="7"/>
      <c r="L575" s="7"/>
      <c r="M575" s="3"/>
    </row>
    <row r="576">
      <c r="C576" s="7"/>
      <c r="E576" s="7"/>
      <c r="F576" s="3"/>
      <c r="I576" s="7"/>
      <c r="L576" s="7"/>
      <c r="M576" s="3"/>
    </row>
    <row r="577">
      <c r="C577" s="7"/>
      <c r="E577" s="7"/>
      <c r="F577" s="3"/>
      <c r="I577" s="7"/>
      <c r="L577" s="7"/>
      <c r="M577" s="3"/>
    </row>
    <row r="578">
      <c r="C578" s="7"/>
      <c r="E578" s="7"/>
      <c r="F578" s="3"/>
      <c r="I578" s="7"/>
      <c r="L578" s="7"/>
      <c r="M578" s="3"/>
    </row>
    <row r="579">
      <c r="C579" s="7"/>
      <c r="E579" s="7"/>
      <c r="F579" s="3"/>
      <c r="I579" s="7"/>
      <c r="L579" s="7"/>
      <c r="M579" s="3"/>
    </row>
    <row r="580">
      <c r="C580" s="7"/>
      <c r="E580" s="7"/>
      <c r="F580" s="3"/>
      <c r="I580" s="7"/>
      <c r="L580" s="7"/>
      <c r="M580" s="3"/>
    </row>
    <row r="581">
      <c r="C581" s="7"/>
      <c r="E581" s="7"/>
      <c r="F581" s="3"/>
      <c r="I581" s="7"/>
      <c r="L581" s="7"/>
      <c r="M581" s="3"/>
    </row>
    <row r="582">
      <c r="C582" s="7"/>
      <c r="E582" s="7"/>
      <c r="F582" s="3"/>
      <c r="I582" s="7"/>
      <c r="L582" s="7"/>
      <c r="M582" s="3"/>
    </row>
    <row r="583">
      <c r="C583" s="7"/>
      <c r="E583" s="7"/>
      <c r="F583" s="3"/>
      <c r="I583" s="7"/>
      <c r="L583" s="7"/>
      <c r="M583" s="3"/>
    </row>
    <row r="584">
      <c r="C584" s="7"/>
      <c r="E584" s="7"/>
      <c r="F584" s="3"/>
      <c r="I584" s="7"/>
      <c r="L584" s="7"/>
      <c r="M584" s="3"/>
    </row>
    <row r="585">
      <c r="C585" s="7"/>
      <c r="E585" s="7"/>
      <c r="F585" s="3"/>
      <c r="I585" s="7"/>
      <c r="L585" s="7"/>
      <c r="M585" s="3"/>
    </row>
    <row r="586">
      <c r="C586" s="7"/>
      <c r="E586" s="7"/>
      <c r="F586" s="3"/>
      <c r="I586" s="7"/>
      <c r="L586" s="7"/>
      <c r="M586" s="3"/>
    </row>
    <row r="587">
      <c r="C587" s="7"/>
      <c r="E587" s="7"/>
      <c r="F587" s="3"/>
      <c r="I587" s="7"/>
      <c r="L587" s="7"/>
      <c r="M587" s="3"/>
    </row>
    <row r="588">
      <c r="C588" s="7"/>
      <c r="E588" s="7"/>
      <c r="F588" s="3"/>
      <c r="I588" s="7"/>
      <c r="L588" s="7"/>
      <c r="M588" s="3"/>
    </row>
    <row r="589">
      <c r="C589" s="7"/>
      <c r="E589" s="7"/>
      <c r="F589" s="3"/>
      <c r="I589" s="7"/>
      <c r="L589" s="7"/>
      <c r="M589" s="3"/>
    </row>
    <row r="590">
      <c r="C590" s="7"/>
      <c r="E590" s="7"/>
      <c r="F590" s="3"/>
      <c r="I590" s="7"/>
      <c r="L590" s="7"/>
      <c r="M590" s="3"/>
    </row>
    <row r="591">
      <c r="C591" s="7"/>
      <c r="E591" s="7"/>
      <c r="F591" s="3"/>
      <c r="I591" s="7"/>
      <c r="L591" s="7"/>
      <c r="M591" s="3"/>
    </row>
    <row r="592">
      <c r="C592" s="7"/>
      <c r="E592" s="7"/>
      <c r="F592" s="3"/>
      <c r="I592" s="7"/>
      <c r="L592" s="7"/>
      <c r="M592" s="3"/>
    </row>
    <row r="593">
      <c r="C593" s="7"/>
      <c r="E593" s="7"/>
      <c r="F593" s="3"/>
      <c r="I593" s="7"/>
      <c r="L593" s="7"/>
      <c r="M593" s="3"/>
    </row>
    <row r="594">
      <c r="C594" s="7"/>
      <c r="E594" s="7"/>
      <c r="F594" s="3"/>
      <c r="I594" s="7"/>
      <c r="L594" s="7"/>
      <c r="M594" s="3"/>
    </row>
    <row r="595">
      <c r="C595" s="7"/>
      <c r="E595" s="7"/>
      <c r="F595" s="3"/>
      <c r="I595" s="7"/>
      <c r="L595" s="7"/>
      <c r="M595" s="3"/>
    </row>
    <row r="596">
      <c r="C596" s="7"/>
      <c r="E596" s="7"/>
      <c r="F596" s="3"/>
      <c r="I596" s="7"/>
      <c r="L596" s="7"/>
      <c r="M596" s="3"/>
    </row>
    <row r="597">
      <c r="C597" s="7"/>
      <c r="E597" s="7"/>
      <c r="F597" s="3"/>
      <c r="I597" s="7"/>
      <c r="L597" s="7"/>
      <c r="M597" s="3"/>
    </row>
    <row r="598">
      <c r="C598" s="7"/>
      <c r="E598" s="7"/>
      <c r="F598" s="3"/>
      <c r="I598" s="7"/>
      <c r="L598" s="7"/>
      <c r="M598" s="3"/>
    </row>
    <row r="599">
      <c r="C599" s="7"/>
      <c r="E599" s="7"/>
      <c r="F599" s="3"/>
      <c r="I599" s="7"/>
      <c r="L599" s="7"/>
      <c r="M599" s="3"/>
    </row>
    <row r="600">
      <c r="C600" s="7"/>
      <c r="E600" s="7"/>
      <c r="F600" s="3"/>
      <c r="I600" s="7"/>
      <c r="L600" s="7"/>
      <c r="M600" s="3"/>
    </row>
    <row r="601">
      <c r="C601" s="7"/>
      <c r="E601" s="7"/>
      <c r="F601" s="3"/>
      <c r="I601" s="7"/>
      <c r="L601" s="7"/>
      <c r="M601" s="3"/>
    </row>
    <row r="602">
      <c r="C602" s="7"/>
      <c r="E602" s="7"/>
      <c r="F602" s="3"/>
      <c r="I602" s="7"/>
      <c r="L602" s="7"/>
      <c r="M602" s="3"/>
    </row>
    <row r="603">
      <c r="C603" s="7"/>
      <c r="E603" s="7"/>
      <c r="F603" s="3"/>
      <c r="I603" s="7"/>
      <c r="L603" s="7"/>
      <c r="M603" s="3"/>
    </row>
    <row r="604">
      <c r="C604" s="7"/>
      <c r="E604" s="7"/>
      <c r="F604" s="3"/>
      <c r="I604" s="7"/>
      <c r="L604" s="7"/>
      <c r="M604" s="3"/>
    </row>
    <row r="605">
      <c r="C605" s="7"/>
      <c r="E605" s="7"/>
      <c r="F605" s="3"/>
      <c r="I605" s="7"/>
      <c r="L605" s="7"/>
      <c r="M605" s="3"/>
    </row>
    <row r="606">
      <c r="C606" s="7"/>
      <c r="E606" s="7"/>
      <c r="F606" s="3"/>
      <c r="I606" s="7"/>
      <c r="L606" s="7"/>
      <c r="M606" s="3"/>
    </row>
    <row r="607">
      <c r="C607" s="7"/>
      <c r="E607" s="7"/>
      <c r="F607" s="3"/>
      <c r="I607" s="7"/>
      <c r="L607" s="7"/>
      <c r="M607" s="3"/>
    </row>
    <row r="608">
      <c r="C608" s="7"/>
      <c r="E608" s="7"/>
      <c r="F608" s="3"/>
      <c r="I608" s="7"/>
      <c r="L608" s="7"/>
      <c r="M608" s="3"/>
    </row>
    <row r="609">
      <c r="C609" s="7"/>
      <c r="E609" s="7"/>
      <c r="F609" s="3"/>
      <c r="I609" s="7"/>
      <c r="L609" s="7"/>
      <c r="M609" s="3"/>
    </row>
    <row r="610">
      <c r="C610" s="7"/>
      <c r="E610" s="7"/>
      <c r="F610" s="3"/>
      <c r="I610" s="7"/>
      <c r="L610" s="7"/>
      <c r="M610" s="3"/>
    </row>
    <row r="611">
      <c r="C611" s="7"/>
      <c r="E611" s="7"/>
      <c r="F611" s="3"/>
      <c r="I611" s="7"/>
      <c r="L611" s="7"/>
      <c r="M611" s="3"/>
    </row>
    <row r="612">
      <c r="C612" s="7"/>
      <c r="E612" s="7"/>
      <c r="F612" s="3"/>
      <c r="I612" s="7"/>
      <c r="L612" s="7"/>
      <c r="M612" s="3"/>
    </row>
    <row r="613">
      <c r="C613" s="7"/>
      <c r="E613" s="7"/>
      <c r="F613" s="3"/>
      <c r="I613" s="7"/>
      <c r="L613" s="7"/>
      <c r="M613" s="3"/>
    </row>
    <row r="614">
      <c r="C614" s="7"/>
      <c r="E614" s="7"/>
      <c r="F614" s="3"/>
      <c r="I614" s="7"/>
      <c r="L614" s="7"/>
      <c r="M614" s="3"/>
    </row>
    <row r="615">
      <c r="C615" s="7"/>
      <c r="E615" s="7"/>
      <c r="F615" s="3"/>
      <c r="I615" s="7"/>
      <c r="L615" s="7"/>
      <c r="M615" s="3"/>
    </row>
    <row r="616">
      <c r="C616" s="7"/>
      <c r="E616" s="7"/>
      <c r="F616" s="3"/>
      <c r="I616" s="7"/>
      <c r="L616" s="7"/>
      <c r="M616" s="3"/>
    </row>
    <row r="617">
      <c r="C617" s="7"/>
      <c r="E617" s="7"/>
      <c r="F617" s="3"/>
      <c r="I617" s="7"/>
      <c r="L617" s="7"/>
      <c r="M617" s="3"/>
    </row>
    <row r="618">
      <c r="C618" s="7"/>
      <c r="E618" s="7"/>
      <c r="F618" s="3"/>
      <c r="I618" s="7"/>
      <c r="L618" s="7"/>
      <c r="M618" s="3"/>
    </row>
    <row r="619">
      <c r="C619" s="7"/>
      <c r="E619" s="7"/>
      <c r="F619" s="3"/>
      <c r="I619" s="7"/>
      <c r="L619" s="7"/>
      <c r="M619" s="3"/>
    </row>
    <row r="620">
      <c r="C620" s="7"/>
      <c r="E620" s="7"/>
      <c r="F620" s="3"/>
      <c r="I620" s="7"/>
      <c r="L620" s="7"/>
      <c r="M620" s="3"/>
    </row>
    <row r="621">
      <c r="C621" s="7"/>
      <c r="E621" s="7"/>
      <c r="F621" s="3"/>
      <c r="I621" s="7"/>
      <c r="L621" s="7"/>
      <c r="M621" s="3"/>
    </row>
    <row r="622">
      <c r="C622" s="7"/>
      <c r="E622" s="7"/>
      <c r="F622" s="3"/>
      <c r="I622" s="7"/>
      <c r="L622" s="7"/>
      <c r="M622" s="3"/>
    </row>
    <row r="623">
      <c r="C623" s="7"/>
      <c r="E623" s="7"/>
      <c r="F623" s="3"/>
      <c r="I623" s="7"/>
      <c r="L623" s="7"/>
      <c r="M623" s="3"/>
    </row>
    <row r="624">
      <c r="C624" s="7"/>
      <c r="E624" s="7"/>
      <c r="F624" s="3"/>
      <c r="I624" s="7"/>
      <c r="L624" s="7"/>
      <c r="M624" s="3"/>
    </row>
    <row r="625">
      <c r="C625" s="7"/>
      <c r="E625" s="7"/>
      <c r="F625" s="3"/>
      <c r="I625" s="7"/>
      <c r="L625" s="7"/>
      <c r="M625" s="3"/>
    </row>
    <row r="626">
      <c r="C626" s="7"/>
      <c r="E626" s="7"/>
      <c r="F626" s="3"/>
      <c r="I626" s="7"/>
      <c r="L626" s="7"/>
      <c r="M626" s="3"/>
    </row>
    <row r="627">
      <c r="C627" s="7"/>
      <c r="E627" s="7"/>
      <c r="F627" s="3"/>
      <c r="I627" s="7"/>
      <c r="L627" s="7"/>
      <c r="M627" s="3"/>
    </row>
    <row r="628">
      <c r="C628" s="7"/>
      <c r="E628" s="7"/>
      <c r="F628" s="3"/>
      <c r="I628" s="7"/>
      <c r="L628" s="7"/>
      <c r="M628" s="3"/>
    </row>
    <row r="629">
      <c r="C629" s="7"/>
      <c r="E629" s="7"/>
      <c r="F629" s="3"/>
      <c r="I629" s="7"/>
      <c r="L629" s="7"/>
      <c r="M629" s="3"/>
    </row>
    <row r="630">
      <c r="C630" s="7"/>
      <c r="E630" s="7"/>
      <c r="F630" s="3"/>
      <c r="I630" s="7"/>
      <c r="L630" s="7"/>
      <c r="M630" s="3"/>
    </row>
    <row r="631">
      <c r="C631" s="7"/>
      <c r="E631" s="7"/>
      <c r="F631" s="3"/>
      <c r="I631" s="7"/>
      <c r="L631" s="7"/>
      <c r="M631" s="3"/>
    </row>
    <row r="632">
      <c r="C632" s="7"/>
      <c r="E632" s="7"/>
      <c r="F632" s="3"/>
      <c r="I632" s="7"/>
      <c r="L632" s="7"/>
      <c r="M632" s="3"/>
    </row>
    <row r="633">
      <c r="C633" s="7"/>
      <c r="E633" s="7"/>
      <c r="F633" s="3"/>
      <c r="I633" s="7"/>
      <c r="L633" s="7"/>
      <c r="M633" s="3"/>
    </row>
    <row r="634">
      <c r="C634" s="7"/>
      <c r="E634" s="7"/>
      <c r="F634" s="3"/>
      <c r="I634" s="7"/>
      <c r="L634" s="7"/>
      <c r="M634" s="3"/>
    </row>
    <row r="635">
      <c r="C635" s="7"/>
      <c r="E635" s="7"/>
      <c r="F635" s="3"/>
      <c r="I635" s="7"/>
      <c r="L635" s="7"/>
      <c r="M635" s="3"/>
    </row>
    <row r="636">
      <c r="C636" s="7"/>
      <c r="E636" s="7"/>
      <c r="F636" s="3"/>
      <c r="I636" s="7"/>
      <c r="L636" s="7"/>
      <c r="M636" s="3"/>
    </row>
    <row r="637">
      <c r="C637" s="7"/>
      <c r="E637" s="7"/>
      <c r="F637" s="3"/>
      <c r="I637" s="7"/>
      <c r="L637" s="7"/>
      <c r="M637" s="3"/>
    </row>
    <row r="638">
      <c r="C638" s="7"/>
      <c r="E638" s="7"/>
      <c r="F638" s="3"/>
      <c r="I638" s="7"/>
      <c r="L638" s="7"/>
      <c r="M638" s="3"/>
    </row>
    <row r="639">
      <c r="C639" s="7"/>
      <c r="E639" s="7"/>
      <c r="F639" s="3"/>
      <c r="I639" s="7"/>
      <c r="L639" s="7"/>
      <c r="M639" s="3"/>
    </row>
    <row r="640">
      <c r="C640" s="7"/>
      <c r="E640" s="7"/>
      <c r="F640" s="3"/>
      <c r="I640" s="7"/>
      <c r="L640" s="7"/>
      <c r="M640" s="3"/>
    </row>
    <row r="641">
      <c r="C641" s="7"/>
      <c r="E641" s="7"/>
      <c r="F641" s="3"/>
      <c r="I641" s="7"/>
      <c r="L641" s="7"/>
      <c r="M641" s="3"/>
    </row>
    <row r="642">
      <c r="C642" s="7"/>
      <c r="E642" s="7"/>
      <c r="F642" s="3"/>
      <c r="I642" s="7"/>
      <c r="L642" s="7"/>
      <c r="M642" s="3"/>
    </row>
    <row r="643">
      <c r="C643" s="7"/>
      <c r="E643" s="7"/>
      <c r="F643" s="3"/>
      <c r="I643" s="7"/>
      <c r="L643" s="7"/>
      <c r="M643" s="3"/>
    </row>
    <row r="644">
      <c r="C644" s="7"/>
      <c r="E644" s="7"/>
      <c r="F644" s="3"/>
      <c r="I644" s="7"/>
      <c r="L644" s="7"/>
      <c r="M644" s="3"/>
    </row>
    <row r="645">
      <c r="C645" s="7"/>
      <c r="E645" s="7"/>
      <c r="F645" s="3"/>
      <c r="I645" s="7"/>
      <c r="L645" s="7"/>
      <c r="M645" s="3"/>
    </row>
    <row r="646">
      <c r="C646" s="7"/>
      <c r="E646" s="7"/>
      <c r="F646" s="3"/>
      <c r="I646" s="7"/>
      <c r="L646" s="7"/>
      <c r="M646" s="3"/>
    </row>
    <row r="647">
      <c r="C647" s="7"/>
      <c r="E647" s="7"/>
      <c r="F647" s="3"/>
      <c r="I647" s="7"/>
      <c r="L647" s="7"/>
      <c r="M647" s="3"/>
    </row>
    <row r="648">
      <c r="C648" s="7"/>
      <c r="E648" s="7"/>
      <c r="F648" s="3"/>
      <c r="I648" s="7"/>
      <c r="L648" s="7"/>
      <c r="M648" s="3"/>
    </row>
    <row r="649">
      <c r="C649" s="7"/>
      <c r="E649" s="7"/>
      <c r="F649" s="3"/>
      <c r="I649" s="7"/>
      <c r="L649" s="7"/>
      <c r="M649" s="3"/>
    </row>
    <row r="650">
      <c r="C650" s="7"/>
      <c r="E650" s="7"/>
      <c r="F650" s="3"/>
      <c r="I650" s="7"/>
      <c r="L650" s="7"/>
      <c r="M650" s="3"/>
    </row>
    <row r="651">
      <c r="C651" s="7"/>
      <c r="E651" s="7"/>
      <c r="F651" s="3"/>
      <c r="I651" s="7"/>
      <c r="L651" s="7"/>
      <c r="M651" s="3"/>
    </row>
    <row r="652">
      <c r="C652" s="7"/>
      <c r="E652" s="7"/>
      <c r="F652" s="3"/>
      <c r="I652" s="7"/>
      <c r="L652" s="7"/>
      <c r="M652" s="3"/>
    </row>
    <row r="653">
      <c r="C653" s="7"/>
      <c r="E653" s="7"/>
      <c r="F653" s="3"/>
      <c r="I653" s="7"/>
      <c r="L653" s="7"/>
      <c r="M653" s="3"/>
    </row>
    <row r="654">
      <c r="C654" s="7"/>
      <c r="E654" s="7"/>
      <c r="F654" s="3"/>
      <c r="I654" s="7"/>
      <c r="L654" s="7"/>
      <c r="M654" s="3"/>
    </row>
    <row r="655">
      <c r="C655" s="7"/>
      <c r="E655" s="7"/>
      <c r="F655" s="3"/>
      <c r="I655" s="7"/>
      <c r="L655" s="7"/>
      <c r="M655" s="3"/>
    </row>
    <row r="656">
      <c r="C656" s="7"/>
      <c r="E656" s="7"/>
      <c r="F656" s="3"/>
      <c r="I656" s="7"/>
      <c r="L656" s="7"/>
      <c r="M656" s="3"/>
    </row>
    <row r="657">
      <c r="C657" s="7"/>
      <c r="E657" s="7"/>
      <c r="F657" s="3"/>
      <c r="I657" s="7"/>
      <c r="L657" s="7"/>
      <c r="M657" s="3"/>
    </row>
    <row r="658">
      <c r="C658" s="7"/>
      <c r="E658" s="7"/>
      <c r="F658" s="3"/>
      <c r="I658" s="7"/>
      <c r="L658" s="7"/>
      <c r="M658" s="3"/>
    </row>
    <row r="659">
      <c r="C659" s="7"/>
      <c r="E659" s="7"/>
      <c r="F659" s="3"/>
      <c r="I659" s="7"/>
      <c r="L659" s="7"/>
      <c r="M659" s="3"/>
    </row>
    <row r="660">
      <c r="C660" s="7"/>
      <c r="E660" s="7"/>
      <c r="F660" s="3"/>
      <c r="I660" s="7"/>
      <c r="L660" s="7"/>
      <c r="M660" s="3"/>
    </row>
    <row r="661">
      <c r="C661" s="7"/>
      <c r="E661" s="7"/>
      <c r="F661" s="3"/>
      <c r="I661" s="7"/>
      <c r="L661" s="7"/>
      <c r="M661" s="3"/>
    </row>
    <row r="662">
      <c r="C662" s="7"/>
      <c r="E662" s="7"/>
      <c r="F662" s="3"/>
      <c r="I662" s="7"/>
      <c r="L662" s="7"/>
      <c r="M662" s="3"/>
    </row>
    <row r="663">
      <c r="C663" s="7"/>
      <c r="E663" s="7"/>
      <c r="F663" s="3"/>
      <c r="I663" s="7"/>
      <c r="L663" s="7"/>
      <c r="M663" s="3"/>
    </row>
    <row r="664">
      <c r="C664" s="7"/>
      <c r="E664" s="7"/>
      <c r="F664" s="3"/>
      <c r="I664" s="7"/>
      <c r="L664" s="7"/>
      <c r="M664" s="3"/>
    </row>
    <row r="665">
      <c r="C665" s="7"/>
      <c r="E665" s="7"/>
      <c r="F665" s="3"/>
      <c r="I665" s="7"/>
      <c r="L665" s="7"/>
      <c r="M665" s="3"/>
    </row>
    <row r="666">
      <c r="C666" s="7"/>
      <c r="E666" s="7"/>
      <c r="F666" s="3"/>
      <c r="I666" s="7"/>
      <c r="L666" s="7"/>
      <c r="M666" s="3"/>
    </row>
    <row r="667">
      <c r="C667" s="7"/>
      <c r="E667" s="7"/>
      <c r="F667" s="3"/>
      <c r="I667" s="7"/>
      <c r="L667" s="7"/>
      <c r="M667" s="3"/>
    </row>
    <row r="668">
      <c r="C668" s="7"/>
      <c r="E668" s="7"/>
      <c r="F668" s="3"/>
      <c r="I668" s="7"/>
      <c r="L668" s="7"/>
      <c r="M668" s="3"/>
    </row>
    <row r="669">
      <c r="C669" s="7"/>
      <c r="E669" s="7"/>
      <c r="F669" s="3"/>
      <c r="I669" s="7"/>
      <c r="L669" s="7"/>
      <c r="M669" s="3"/>
    </row>
    <row r="670">
      <c r="C670" s="7"/>
      <c r="E670" s="7"/>
      <c r="F670" s="3"/>
      <c r="I670" s="7"/>
      <c r="L670" s="7"/>
      <c r="M670" s="3"/>
    </row>
    <row r="671">
      <c r="C671" s="7"/>
      <c r="E671" s="7"/>
      <c r="F671" s="3"/>
      <c r="I671" s="7"/>
      <c r="L671" s="7"/>
      <c r="M671" s="3"/>
    </row>
    <row r="672">
      <c r="C672" s="7"/>
      <c r="E672" s="7"/>
      <c r="F672" s="3"/>
      <c r="I672" s="7"/>
      <c r="L672" s="7"/>
      <c r="M672" s="3"/>
    </row>
    <row r="673">
      <c r="C673" s="7"/>
      <c r="E673" s="7"/>
      <c r="F673" s="3"/>
      <c r="I673" s="7"/>
      <c r="L673" s="7"/>
      <c r="M673" s="3"/>
    </row>
    <row r="674">
      <c r="C674" s="7"/>
      <c r="E674" s="7"/>
      <c r="F674" s="3"/>
      <c r="I674" s="7"/>
      <c r="L674" s="7"/>
      <c r="M674" s="3"/>
    </row>
    <row r="675">
      <c r="C675" s="7"/>
      <c r="E675" s="7"/>
      <c r="F675" s="3"/>
      <c r="I675" s="7"/>
      <c r="L675" s="7"/>
      <c r="M675" s="3"/>
    </row>
    <row r="676">
      <c r="C676" s="7"/>
      <c r="E676" s="7"/>
      <c r="F676" s="3"/>
      <c r="I676" s="7"/>
      <c r="L676" s="7"/>
      <c r="M676" s="3"/>
    </row>
    <row r="677">
      <c r="C677" s="7"/>
      <c r="E677" s="7"/>
      <c r="F677" s="3"/>
      <c r="I677" s="7"/>
      <c r="L677" s="7"/>
      <c r="M677" s="3"/>
    </row>
    <row r="678">
      <c r="C678" s="7"/>
      <c r="E678" s="7"/>
      <c r="F678" s="3"/>
      <c r="I678" s="7"/>
      <c r="L678" s="7"/>
      <c r="M678" s="3"/>
    </row>
    <row r="679">
      <c r="C679" s="7"/>
      <c r="E679" s="7"/>
      <c r="F679" s="3"/>
      <c r="I679" s="7"/>
      <c r="L679" s="7"/>
      <c r="M679" s="3"/>
    </row>
    <row r="680">
      <c r="C680" s="7"/>
      <c r="E680" s="7"/>
      <c r="F680" s="3"/>
      <c r="I680" s="7"/>
      <c r="L680" s="7"/>
      <c r="M680" s="3"/>
    </row>
    <row r="681">
      <c r="C681" s="7"/>
      <c r="E681" s="7"/>
      <c r="F681" s="3"/>
      <c r="I681" s="7"/>
      <c r="L681" s="7"/>
      <c r="M681" s="3"/>
    </row>
    <row r="682">
      <c r="C682" s="7"/>
      <c r="E682" s="7"/>
      <c r="F682" s="3"/>
      <c r="I682" s="7"/>
      <c r="L682" s="7"/>
      <c r="M682" s="3"/>
    </row>
    <row r="683">
      <c r="C683" s="7"/>
      <c r="E683" s="7"/>
      <c r="F683" s="3"/>
      <c r="I683" s="7"/>
      <c r="L683" s="7"/>
      <c r="M683" s="3"/>
    </row>
    <row r="684">
      <c r="C684" s="7"/>
      <c r="E684" s="7"/>
      <c r="F684" s="3"/>
      <c r="I684" s="7"/>
      <c r="L684" s="7"/>
      <c r="M684" s="3"/>
    </row>
    <row r="685">
      <c r="C685" s="7"/>
      <c r="E685" s="7"/>
      <c r="F685" s="3"/>
      <c r="I685" s="7"/>
      <c r="L685" s="7"/>
      <c r="M685" s="3"/>
    </row>
    <row r="686">
      <c r="C686" s="7"/>
      <c r="E686" s="7"/>
      <c r="F686" s="3"/>
      <c r="I686" s="7"/>
      <c r="L686" s="7"/>
      <c r="M686" s="3"/>
    </row>
    <row r="687">
      <c r="C687" s="7"/>
      <c r="E687" s="7"/>
      <c r="F687" s="3"/>
      <c r="I687" s="7"/>
      <c r="L687" s="7"/>
      <c r="M687" s="3"/>
    </row>
    <row r="688">
      <c r="C688" s="7"/>
      <c r="E688" s="7"/>
      <c r="F688" s="3"/>
      <c r="I688" s="7"/>
      <c r="L688" s="7"/>
      <c r="M688" s="3"/>
    </row>
    <row r="689">
      <c r="C689" s="7"/>
      <c r="E689" s="7"/>
      <c r="F689" s="3"/>
      <c r="I689" s="7"/>
      <c r="L689" s="7"/>
      <c r="M689" s="3"/>
    </row>
    <row r="690">
      <c r="C690" s="7"/>
      <c r="E690" s="7"/>
      <c r="F690" s="3"/>
      <c r="I690" s="7"/>
      <c r="L690" s="7"/>
      <c r="M690" s="3"/>
    </row>
    <row r="691">
      <c r="C691" s="7"/>
      <c r="E691" s="7"/>
      <c r="F691" s="3"/>
      <c r="I691" s="7"/>
      <c r="L691" s="7"/>
      <c r="M691" s="3"/>
    </row>
    <row r="692">
      <c r="C692" s="7"/>
      <c r="E692" s="7"/>
      <c r="F692" s="3"/>
      <c r="I692" s="7"/>
      <c r="L692" s="7"/>
      <c r="M692" s="3"/>
    </row>
    <row r="693">
      <c r="C693" s="7"/>
      <c r="E693" s="7"/>
      <c r="F693" s="3"/>
      <c r="I693" s="7"/>
      <c r="L693" s="7"/>
      <c r="M693" s="3"/>
    </row>
    <row r="694">
      <c r="C694" s="7"/>
      <c r="E694" s="7"/>
      <c r="F694" s="3"/>
      <c r="I694" s="7"/>
      <c r="L694" s="7"/>
      <c r="M694" s="3"/>
    </row>
    <row r="695">
      <c r="C695" s="7"/>
      <c r="E695" s="7"/>
      <c r="F695" s="3"/>
      <c r="I695" s="7"/>
      <c r="L695" s="7"/>
      <c r="M695" s="3"/>
    </row>
    <row r="696">
      <c r="C696" s="7"/>
      <c r="E696" s="7"/>
      <c r="F696" s="3"/>
      <c r="I696" s="7"/>
      <c r="L696" s="7"/>
      <c r="M696" s="3"/>
    </row>
    <row r="697">
      <c r="C697" s="7"/>
      <c r="E697" s="7"/>
      <c r="F697" s="3"/>
      <c r="I697" s="7"/>
      <c r="L697" s="7"/>
      <c r="M697" s="3"/>
    </row>
    <row r="698">
      <c r="C698" s="7"/>
      <c r="E698" s="7"/>
      <c r="F698" s="3"/>
      <c r="I698" s="7"/>
      <c r="L698" s="7"/>
      <c r="M698" s="3"/>
    </row>
    <row r="699">
      <c r="C699" s="7"/>
      <c r="E699" s="7"/>
      <c r="F699" s="3"/>
      <c r="I699" s="7"/>
      <c r="L699" s="7"/>
      <c r="M699" s="3"/>
    </row>
    <row r="700">
      <c r="C700" s="7"/>
      <c r="E700" s="7"/>
      <c r="F700" s="3"/>
      <c r="I700" s="7"/>
      <c r="L700" s="7"/>
      <c r="M700" s="3"/>
    </row>
    <row r="701">
      <c r="C701" s="7"/>
      <c r="E701" s="7"/>
      <c r="F701" s="3"/>
      <c r="I701" s="7"/>
      <c r="L701" s="7"/>
      <c r="M701" s="3"/>
    </row>
    <row r="702">
      <c r="C702" s="7"/>
      <c r="E702" s="7"/>
      <c r="F702" s="3"/>
      <c r="I702" s="7"/>
      <c r="L702" s="7"/>
      <c r="M702" s="3"/>
    </row>
    <row r="703">
      <c r="C703" s="7"/>
      <c r="E703" s="7"/>
      <c r="F703" s="3"/>
      <c r="I703" s="7"/>
      <c r="L703" s="7"/>
      <c r="M703" s="3"/>
    </row>
    <row r="704">
      <c r="C704" s="7"/>
      <c r="E704" s="7"/>
      <c r="F704" s="3"/>
      <c r="I704" s="7"/>
      <c r="L704" s="7"/>
      <c r="M704" s="3"/>
    </row>
    <row r="705">
      <c r="C705" s="7"/>
      <c r="E705" s="7"/>
      <c r="F705" s="3"/>
      <c r="I705" s="7"/>
      <c r="L705" s="7"/>
      <c r="M705" s="3"/>
    </row>
    <row r="706">
      <c r="C706" s="7"/>
      <c r="E706" s="7"/>
      <c r="F706" s="3"/>
      <c r="I706" s="7"/>
      <c r="L706" s="7"/>
      <c r="M706" s="3"/>
    </row>
    <row r="707">
      <c r="C707" s="7"/>
      <c r="E707" s="7"/>
      <c r="F707" s="3"/>
      <c r="I707" s="7"/>
      <c r="L707" s="7"/>
      <c r="M707" s="3"/>
    </row>
    <row r="708">
      <c r="C708" s="7"/>
      <c r="E708" s="7"/>
      <c r="F708" s="3"/>
      <c r="I708" s="7"/>
      <c r="L708" s="7"/>
      <c r="M708" s="3"/>
    </row>
    <row r="709">
      <c r="C709" s="7"/>
      <c r="E709" s="7"/>
      <c r="F709" s="3"/>
      <c r="I709" s="7"/>
      <c r="L709" s="7"/>
      <c r="M709" s="3"/>
    </row>
    <row r="710">
      <c r="C710" s="7"/>
      <c r="E710" s="7"/>
      <c r="F710" s="3"/>
      <c r="I710" s="7"/>
      <c r="L710" s="7"/>
      <c r="M710" s="3"/>
    </row>
    <row r="711">
      <c r="C711" s="7"/>
      <c r="E711" s="7"/>
      <c r="F711" s="3"/>
      <c r="I711" s="7"/>
      <c r="L711" s="7"/>
      <c r="M711" s="3"/>
    </row>
    <row r="712">
      <c r="C712" s="7"/>
      <c r="E712" s="7"/>
      <c r="F712" s="3"/>
      <c r="I712" s="7"/>
      <c r="L712" s="7"/>
      <c r="M712" s="3"/>
    </row>
    <row r="713">
      <c r="C713" s="7"/>
      <c r="E713" s="7"/>
      <c r="F713" s="3"/>
      <c r="I713" s="7"/>
      <c r="L713" s="7"/>
      <c r="M713" s="3"/>
    </row>
    <row r="714">
      <c r="C714" s="7"/>
      <c r="E714" s="7"/>
      <c r="F714" s="3"/>
      <c r="I714" s="7"/>
      <c r="L714" s="7"/>
      <c r="M714" s="3"/>
    </row>
    <row r="715">
      <c r="C715" s="7"/>
      <c r="E715" s="7"/>
      <c r="F715" s="3"/>
      <c r="I715" s="7"/>
      <c r="L715" s="7"/>
      <c r="M715" s="3"/>
    </row>
    <row r="716">
      <c r="C716" s="7"/>
      <c r="E716" s="7"/>
      <c r="F716" s="3"/>
      <c r="I716" s="7"/>
      <c r="L716" s="7"/>
      <c r="M716" s="3"/>
    </row>
    <row r="717">
      <c r="C717" s="7"/>
      <c r="E717" s="7"/>
      <c r="F717" s="3"/>
      <c r="I717" s="7"/>
      <c r="L717" s="7"/>
      <c r="M717" s="3"/>
    </row>
    <row r="718">
      <c r="C718" s="7"/>
      <c r="E718" s="7"/>
      <c r="F718" s="3"/>
      <c r="I718" s="7"/>
      <c r="L718" s="7"/>
      <c r="M718" s="3"/>
    </row>
    <row r="719">
      <c r="C719" s="7"/>
      <c r="E719" s="7"/>
      <c r="F719" s="3"/>
      <c r="I719" s="7"/>
      <c r="L719" s="7"/>
      <c r="M719" s="3"/>
    </row>
    <row r="720">
      <c r="C720" s="7"/>
      <c r="E720" s="7"/>
      <c r="F720" s="3"/>
      <c r="I720" s="7"/>
      <c r="L720" s="7"/>
      <c r="M720" s="3"/>
    </row>
    <row r="721">
      <c r="C721" s="7"/>
      <c r="E721" s="7"/>
      <c r="F721" s="3"/>
      <c r="I721" s="7"/>
      <c r="L721" s="7"/>
      <c r="M721" s="3"/>
    </row>
    <row r="722">
      <c r="C722" s="7"/>
      <c r="E722" s="7"/>
      <c r="F722" s="3"/>
      <c r="I722" s="7"/>
      <c r="L722" s="7"/>
      <c r="M722" s="3"/>
    </row>
    <row r="723">
      <c r="C723" s="7"/>
      <c r="E723" s="7"/>
      <c r="F723" s="3"/>
      <c r="I723" s="7"/>
      <c r="L723" s="7"/>
      <c r="M723" s="3"/>
    </row>
    <row r="724">
      <c r="C724" s="7"/>
      <c r="E724" s="7"/>
      <c r="F724" s="3"/>
      <c r="I724" s="7"/>
      <c r="L724" s="7"/>
      <c r="M724" s="3"/>
    </row>
    <row r="725">
      <c r="C725" s="7"/>
      <c r="E725" s="7"/>
      <c r="F725" s="3"/>
      <c r="I725" s="7"/>
      <c r="L725" s="7"/>
      <c r="M725" s="3"/>
    </row>
    <row r="726">
      <c r="C726" s="7"/>
      <c r="E726" s="7"/>
      <c r="F726" s="3"/>
      <c r="I726" s="7"/>
      <c r="L726" s="7"/>
      <c r="M726" s="3"/>
    </row>
    <row r="727">
      <c r="C727" s="7"/>
      <c r="E727" s="7"/>
      <c r="F727" s="3"/>
      <c r="I727" s="7"/>
      <c r="L727" s="7"/>
      <c r="M727" s="3"/>
    </row>
    <row r="728">
      <c r="C728" s="7"/>
      <c r="E728" s="7"/>
      <c r="F728" s="3"/>
      <c r="I728" s="7"/>
      <c r="L728" s="7"/>
      <c r="M728" s="3"/>
    </row>
    <row r="729">
      <c r="C729" s="7"/>
      <c r="E729" s="7"/>
      <c r="F729" s="3"/>
      <c r="I729" s="7"/>
      <c r="L729" s="7"/>
      <c r="M729" s="3"/>
    </row>
    <row r="730">
      <c r="C730" s="7"/>
      <c r="E730" s="7"/>
      <c r="F730" s="3"/>
      <c r="I730" s="7"/>
      <c r="L730" s="7"/>
      <c r="M730" s="3"/>
    </row>
    <row r="731">
      <c r="C731" s="7"/>
      <c r="E731" s="7"/>
      <c r="F731" s="3"/>
      <c r="I731" s="7"/>
      <c r="L731" s="7"/>
      <c r="M731" s="3"/>
    </row>
    <row r="732">
      <c r="C732" s="7"/>
      <c r="E732" s="7"/>
      <c r="F732" s="3"/>
      <c r="I732" s="7"/>
      <c r="L732" s="7"/>
      <c r="M732" s="3"/>
    </row>
    <row r="733">
      <c r="C733" s="7"/>
      <c r="E733" s="7"/>
      <c r="F733" s="3"/>
      <c r="I733" s="7"/>
      <c r="L733" s="7"/>
      <c r="M733" s="3"/>
    </row>
    <row r="734">
      <c r="C734" s="7"/>
      <c r="E734" s="7"/>
      <c r="F734" s="3"/>
      <c r="I734" s="7"/>
      <c r="L734" s="7"/>
      <c r="M734" s="3"/>
    </row>
    <row r="735">
      <c r="C735" s="7"/>
      <c r="E735" s="7"/>
      <c r="F735" s="3"/>
      <c r="I735" s="7"/>
      <c r="L735" s="7"/>
      <c r="M735" s="3"/>
    </row>
    <row r="736">
      <c r="C736" s="7"/>
      <c r="E736" s="7"/>
      <c r="F736" s="3"/>
      <c r="I736" s="7"/>
      <c r="L736" s="7"/>
      <c r="M736" s="3"/>
    </row>
    <row r="737">
      <c r="C737" s="7"/>
      <c r="E737" s="7"/>
      <c r="F737" s="3"/>
      <c r="I737" s="7"/>
      <c r="L737" s="7"/>
      <c r="M737" s="3"/>
    </row>
    <row r="738">
      <c r="C738" s="7"/>
      <c r="E738" s="7"/>
      <c r="F738" s="3"/>
      <c r="I738" s="7"/>
      <c r="L738" s="7"/>
      <c r="M738" s="3"/>
    </row>
    <row r="739">
      <c r="C739" s="7"/>
      <c r="E739" s="7"/>
      <c r="F739" s="3"/>
      <c r="I739" s="7"/>
      <c r="L739" s="7"/>
      <c r="M739" s="3"/>
    </row>
    <row r="740">
      <c r="C740" s="7"/>
      <c r="E740" s="7"/>
      <c r="F740" s="3"/>
      <c r="I740" s="7"/>
      <c r="L740" s="7"/>
      <c r="M740" s="3"/>
    </row>
    <row r="741">
      <c r="C741" s="7"/>
      <c r="E741" s="7"/>
      <c r="F741" s="3"/>
      <c r="I741" s="7"/>
      <c r="L741" s="7"/>
      <c r="M741" s="3"/>
    </row>
    <row r="742">
      <c r="C742" s="7"/>
      <c r="E742" s="7"/>
      <c r="F742" s="3"/>
      <c r="I742" s="7"/>
      <c r="L742" s="7"/>
      <c r="M742" s="3"/>
    </row>
    <row r="743">
      <c r="C743" s="7"/>
      <c r="E743" s="7"/>
      <c r="F743" s="3"/>
      <c r="I743" s="7"/>
      <c r="L743" s="7"/>
      <c r="M743" s="3"/>
    </row>
    <row r="744">
      <c r="C744" s="7"/>
      <c r="E744" s="7"/>
      <c r="F744" s="3"/>
      <c r="I744" s="7"/>
      <c r="L744" s="7"/>
      <c r="M744" s="3"/>
    </row>
    <row r="745">
      <c r="C745" s="7"/>
      <c r="E745" s="7"/>
      <c r="F745" s="3"/>
      <c r="I745" s="7"/>
      <c r="L745" s="7"/>
      <c r="M745" s="3"/>
    </row>
    <row r="746">
      <c r="C746" s="7"/>
      <c r="E746" s="7"/>
      <c r="F746" s="3"/>
      <c r="I746" s="7"/>
      <c r="L746" s="7"/>
      <c r="M746" s="3"/>
    </row>
    <row r="747">
      <c r="C747" s="7"/>
      <c r="E747" s="7"/>
      <c r="F747" s="3"/>
      <c r="I747" s="7"/>
      <c r="L747" s="7"/>
      <c r="M747" s="3"/>
    </row>
    <row r="748">
      <c r="C748" s="7"/>
      <c r="E748" s="7"/>
      <c r="F748" s="3"/>
      <c r="I748" s="7"/>
      <c r="L748" s="7"/>
      <c r="M748" s="3"/>
    </row>
    <row r="749">
      <c r="C749" s="7"/>
      <c r="E749" s="7"/>
      <c r="F749" s="3"/>
      <c r="I749" s="7"/>
      <c r="L749" s="7"/>
      <c r="M749" s="3"/>
    </row>
    <row r="750">
      <c r="C750" s="7"/>
      <c r="E750" s="7"/>
      <c r="F750" s="3"/>
      <c r="I750" s="7"/>
      <c r="L750" s="7"/>
      <c r="M750" s="3"/>
    </row>
    <row r="751">
      <c r="C751" s="7"/>
      <c r="E751" s="7"/>
      <c r="F751" s="3"/>
      <c r="I751" s="7"/>
      <c r="L751" s="7"/>
      <c r="M751" s="3"/>
    </row>
    <row r="752">
      <c r="C752" s="7"/>
      <c r="E752" s="7"/>
      <c r="F752" s="3"/>
      <c r="I752" s="7"/>
      <c r="L752" s="7"/>
      <c r="M752" s="3"/>
    </row>
    <row r="753">
      <c r="C753" s="7"/>
      <c r="E753" s="7"/>
      <c r="F753" s="3"/>
      <c r="I753" s="7"/>
      <c r="L753" s="7"/>
      <c r="M753" s="3"/>
    </row>
    <row r="754">
      <c r="C754" s="7"/>
      <c r="E754" s="7"/>
      <c r="F754" s="3"/>
      <c r="I754" s="7"/>
      <c r="L754" s="7"/>
      <c r="M754" s="3"/>
    </row>
    <row r="755">
      <c r="C755" s="7"/>
      <c r="E755" s="7"/>
      <c r="F755" s="3"/>
      <c r="I755" s="7"/>
      <c r="L755" s="7"/>
      <c r="M755" s="3"/>
    </row>
    <row r="756">
      <c r="C756" s="7"/>
      <c r="E756" s="7"/>
      <c r="F756" s="3"/>
      <c r="I756" s="7"/>
      <c r="L756" s="7"/>
      <c r="M756" s="3"/>
    </row>
    <row r="757">
      <c r="C757" s="7"/>
      <c r="E757" s="7"/>
      <c r="F757" s="3"/>
      <c r="I757" s="7"/>
      <c r="L757" s="7"/>
      <c r="M757" s="3"/>
    </row>
    <row r="758">
      <c r="C758" s="7"/>
      <c r="E758" s="7"/>
      <c r="F758" s="3"/>
      <c r="I758" s="7"/>
      <c r="L758" s="7"/>
      <c r="M758" s="3"/>
    </row>
    <row r="759">
      <c r="C759" s="7"/>
      <c r="E759" s="7"/>
      <c r="F759" s="3"/>
      <c r="I759" s="7"/>
      <c r="L759" s="7"/>
      <c r="M759" s="3"/>
    </row>
    <row r="760">
      <c r="C760" s="7"/>
      <c r="E760" s="7"/>
      <c r="F760" s="3"/>
      <c r="I760" s="7"/>
      <c r="L760" s="7"/>
      <c r="M760" s="3"/>
    </row>
    <row r="761">
      <c r="C761" s="7"/>
      <c r="E761" s="7"/>
      <c r="F761" s="3"/>
      <c r="I761" s="7"/>
      <c r="L761" s="7"/>
      <c r="M761" s="3"/>
    </row>
    <row r="762">
      <c r="C762" s="7"/>
      <c r="E762" s="7"/>
      <c r="F762" s="3"/>
      <c r="I762" s="7"/>
      <c r="L762" s="7"/>
      <c r="M762" s="3"/>
    </row>
    <row r="763">
      <c r="C763" s="7"/>
      <c r="E763" s="7"/>
      <c r="F763" s="3"/>
      <c r="I763" s="7"/>
      <c r="L763" s="7"/>
      <c r="M763" s="3"/>
    </row>
    <row r="764">
      <c r="C764" s="7"/>
      <c r="E764" s="7"/>
      <c r="F764" s="3"/>
      <c r="I764" s="7"/>
      <c r="L764" s="7"/>
      <c r="M764" s="3"/>
    </row>
    <row r="765">
      <c r="C765" s="7"/>
      <c r="E765" s="7"/>
      <c r="F765" s="3"/>
      <c r="I765" s="7"/>
      <c r="L765" s="7"/>
      <c r="M765" s="3"/>
    </row>
    <row r="766">
      <c r="C766" s="7"/>
      <c r="E766" s="7"/>
      <c r="F766" s="3"/>
      <c r="I766" s="7"/>
      <c r="L766" s="7"/>
      <c r="M766" s="3"/>
    </row>
    <row r="767">
      <c r="C767" s="7"/>
      <c r="E767" s="7"/>
      <c r="F767" s="3"/>
      <c r="I767" s="7"/>
      <c r="L767" s="7"/>
      <c r="M767" s="3"/>
    </row>
    <row r="768">
      <c r="C768" s="7"/>
      <c r="E768" s="7"/>
      <c r="F768" s="3"/>
      <c r="I768" s="7"/>
      <c r="L768" s="7"/>
      <c r="M768" s="3"/>
    </row>
    <row r="769">
      <c r="C769" s="7"/>
      <c r="E769" s="7"/>
      <c r="F769" s="3"/>
      <c r="I769" s="7"/>
      <c r="L769" s="7"/>
      <c r="M769" s="3"/>
    </row>
    <row r="770">
      <c r="C770" s="7"/>
      <c r="E770" s="7"/>
      <c r="F770" s="3"/>
      <c r="I770" s="7"/>
      <c r="L770" s="7"/>
      <c r="M770" s="3"/>
    </row>
    <row r="771">
      <c r="C771" s="7"/>
      <c r="E771" s="7"/>
      <c r="F771" s="3"/>
      <c r="I771" s="7"/>
      <c r="L771" s="7"/>
      <c r="M771" s="3"/>
    </row>
    <row r="772">
      <c r="C772" s="7"/>
      <c r="E772" s="7"/>
      <c r="F772" s="3"/>
      <c r="I772" s="7"/>
      <c r="L772" s="7"/>
      <c r="M772" s="3"/>
    </row>
    <row r="773">
      <c r="C773" s="7"/>
      <c r="E773" s="7"/>
      <c r="F773" s="3"/>
      <c r="I773" s="7"/>
      <c r="L773" s="7"/>
      <c r="M773" s="3"/>
    </row>
    <row r="774">
      <c r="C774" s="7"/>
      <c r="E774" s="7"/>
      <c r="F774" s="3"/>
      <c r="I774" s="7"/>
      <c r="L774" s="7"/>
      <c r="M774" s="3"/>
    </row>
    <row r="775">
      <c r="C775" s="7"/>
      <c r="E775" s="7"/>
      <c r="F775" s="3"/>
      <c r="I775" s="7"/>
      <c r="L775" s="7"/>
      <c r="M775" s="3"/>
    </row>
    <row r="776">
      <c r="C776" s="7"/>
      <c r="E776" s="7"/>
      <c r="F776" s="3"/>
      <c r="I776" s="7"/>
      <c r="L776" s="7"/>
      <c r="M776" s="3"/>
    </row>
    <row r="777">
      <c r="C777" s="7"/>
      <c r="E777" s="7"/>
      <c r="F777" s="3"/>
      <c r="I777" s="7"/>
      <c r="L777" s="7"/>
      <c r="M777" s="3"/>
    </row>
    <row r="778">
      <c r="C778" s="7"/>
      <c r="E778" s="7"/>
      <c r="F778" s="3"/>
      <c r="I778" s="7"/>
      <c r="L778" s="7"/>
      <c r="M778" s="3"/>
    </row>
    <row r="779">
      <c r="C779" s="7"/>
      <c r="E779" s="7"/>
      <c r="F779" s="3"/>
      <c r="I779" s="7"/>
      <c r="L779" s="7"/>
      <c r="M779" s="3"/>
    </row>
    <row r="780">
      <c r="C780" s="7"/>
      <c r="E780" s="7"/>
      <c r="F780" s="3"/>
      <c r="I780" s="7"/>
      <c r="L780" s="7"/>
      <c r="M780" s="3"/>
    </row>
    <row r="781">
      <c r="C781" s="7"/>
      <c r="E781" s="7"/>
      <c r="F781" s="3"/>
      <c r="I781" s="7"/>
      <c r="L781" s="7"/>
      <c r="M781" s="3"/>
    </row>
    <row r="782">
      <c r="C782" s="7"/>
      <c r="E782" s="7"/>
      <c r="F782" s="3"/>
      <c r="I782" s="7"/>
      <c r="L782" s="7"/>
      <c r="M782" s="3"/>
    </row>
    <row r="783">
      <c r="C783" s="7"/>
      <c r="E783" s="7"/>
      <c r="F783" s="3"/>
      <c r="I783" s="7"/>
      <c r="L783" s="7"/>
      <c r="M783" s="3"/>
    </row>
    <row r="784">
      <c r="C784" s="7"/>
      <c r="E784" s="7"/>
      <c r="F784" s="3"/>
      <c r="I784" s="7"/>
      <c r="L784" s="7"/>
      <c r="M784" s="3"/>
    </row>
    <row r="785">
      <c r="C785" s="7"/>
      <c r="E785" s="7"/>
      <c r="F785" s="3"/>
      <c r="I785" s="7"/>
      <c r="L785" s="7"/>
      <c r="M785" s="3"/>
    </row>
    <row r="786">
      <c r="C786" s="7"/>
      <c r="E786" s="7"/>
      <c r="F786" s="3"/>
      <c r="I786" s="7"/>
      <c r="L786" s="7"/>
      <c r="M786" s="3"/>
    </row>
    <row r="787">
      <c r="C787" s="7"/>
      <c r="E787" s="7"/>
      <c r="F787" s="3"/>
      <c r="I787" s="7"/>
      <c r="L787" s="7"/>
      <c r="M787" s="3"/>
    </row>
    <row r="788">
      <c r="C788" s="7"/>
      <c r="E788" s="7"/>
      <c r="F788" s="3"/>
      <c r="I788" s="7"/>
      <c r="L788" s="7"/>
      <c r="M788" s="3"/>
    </row>
    <row r="789">
      <c r="C789" s="7"/>
      <c r="E789" s="7"/>
      <c r="F789" s="3"/>
      <c r="I789" s="7"/>
      <c r="L789" s="7"/>
      <c r="M789" s="3"/>
    </row>
    <row r="790">
      <c r="C790" s="7"/>
      <c r="E790" s="7"/>
      <c r="F790" s="3"/>
      <c r="I790" s="7"/>
      <c r="L790" s="7"/>
      <c r="M790" s="3"/>
    </row>
    <row r="791">
      <c r="C791" s="7"/>
      <c r="E791" s="7"/>
      <c r="F791" s="3"/>
      <c r="I791" s="7"/>
      <c r="L791" s="7"/>
      <c r="M791" s="3"/>
    </row>
    <row r="792">
      <c r="C792" s="7"/>
      <c r="E792" s="7"/>
      <c r="F792" s="3"/>
      <c r="I792" s="7"/>
      <c r="L792" s="7"/>
      <c r="M792" s="3"/>
    </row>
    <row r="793">
      <c r="C793" s="7"/>
      <c r="E793" s="7"/>
      <c r="F793" s="3"/>
      <c r="I793" s="7"/>
      <c r="L793" s="7"/>
      <c r="M793" s="3"/>
    </row>
    <row r="794">
      <c r="C794" s="7"/>
      <c r="E794" s="7"/>
      <c r="F794" s="3"/>
      <c r="I794" s="7"/>
      <c r="L794" s="7"/>
      <c r="M794" s="3"/>
    </row>
    <row r="795">
      <c r="C795" s="7"/>
      <c r="E795" s="7"/>
      <c r="F795" s="3"/>
      <c r="I795" s="7"/>
      <c r="L795" s="7"/>
      <c r="M795" s="3"/>
    </row>
    <row r="796">
      <c r="C796" s="7"/>
      <c r="E796" s="7"/>
      <c r="F796" s="3"/>
      <c r="I796" s="7"/>
      <c r="L796" s="7"/>
      <c r="M796" s="3"/>
    </row>
    <row r="797">
      <c r="C797" s="7"/>
      <c r="E797" s="7"/>
      <c r="F797" s="3"/>
      <c r="I797" s="7"/>
      <c r="L797" s="7"/>
      <c r="M797" s="3"/>
    </row>
    <row r="798">
      <c r="C798" s="7"/>
      <c r="E798" s="7"/>
      <c r="F798" s="3"/>
      <c r="I798" s="7"/>
      <c r="L798" s="7"/>
      <c r="M798" s="3"/>
    </row>
    <row r="799">
      <c r="C799" s="7"/>
      <c r="E799" s="7"/>
      <c r="F799" s="3"/>
      <c r="I799" s="7"/>
      <c r="L799" s="7"/>
      <c r="M799" s="3"/>
    </row>
    <row r="800">
      <c r="C800" s="7"/>
      <c r="E800" s="7"/>
      <c r="F800" s="3"/>
      <c r="I800" s="7"/>
      <c r="L800" s="7"/>
      <c r="M800" s="3"/>
    </row>
    <row r="801">
      <c r="C801" s="7"/>
      <c r="E801" s="7"/>
      <c r="F801" s="3"/>
      <c r="I801" s="7"/>
      <c r="L801" s="7"/>
      <c r="M801" s="3"/>
    </row>
    <row r="802">
      <c r="C802" s="7"/>
      <c r="E802" s="7"/>
      <c r="F802" s="3"/>
      <c r="I802" s="7"/>
      <c r="L802" s="7"/>
      <c r="M802" s="3"/>
    </row>
    <row r="803">
      <c r="C803" s="7"/>
      <c r="E803" s="7"/>
      <c r="F803" s="3"/>
      <c r="I803" s="7"/>
      <c r="L803" s="7"/>
      <c r="M803" s="3"/>
    </row>
    <row r="804">
      <c r="C804" s="7"/>
      <c r="E804" s="7"/>
      <c r="F804" s="3"/>
      <c r="I804" s="7"/>
      <c r="L804" s="7"/>
      <c r="M804" s="3"/>
    </row>
    <row r="805">
      <c r="C805" s="7"/>
      <c r="E805" s="7"/>
      <c r="F805" s="3"/>
      <c r="I805" s="7"/>
      <c r="L805" s="7"/>
      <c r="M805" s="3"/>
    </row>
    <row r="806">
      <c r="C806" s="7"/>
      <c r="E806" s="7"/>
      <c r="F806" s="3"/>
      <c r="I806" s="7"/>
      <c r="L806" s="7"/>
      <c r="M806" s="3"/>
    </row>
    <row r="807">
      <c r="C807" s="7"/>
      <c r="E807" s="7"/>
      <c r="F807" s="3"/>
      <c r="I807" s="7"/>
      <c r="L807" s="7"/>
      <c r="M807" s="3"/>
    </row>
    <row r="808">
      <c r="C808" s="7"/>
      <c r="E808" s="7"/>
      <c r="F808" s="3"/>
      <c r="I808" s="7"/>
      <c r="L808" s="7"/>
      <c r="M808" s="3"/>
    </row>
    <row r="809">
      <c r="C809" s="7"/>
      <c r="E809" s="7"/>
      <c r="F809" s="3"/>
      <c r="I809" s="7"/>
      <c r="L809" s="7"/>
      <c r="M809" s="3"/>
    </row>
    <row r="810">
      <c r="C810" s="7"/>
      <c r="E810" s="7"/>
      <c r="F810" s="3"/>
      <c r="I810" s="7"/>
      <c r="L810" s="7"/>
      <c r="M810" s="3"/>
    </row>
    <row r="811">
      <c r="C811" s="7"/>
      <c r="E811" s="7"/>
      <c r="F811" s="3"/>
      <c r="I811" s="7"/>
      <c r="L811" s="7"/>
      <c r="M811" s="3"/>
    </row>
    <row r="812">
      <c r="C812" s="7"/>
      <c r="E812" s="7"/>
      <c r="F812" s="3"/>
      <c r="I812" s="7"/>
      <c r="L812" s="7"/>
      <c r="M812" s="3"/>
    </row>
    <row r="813">
      <c r="C813" s="7"/>
      <c r="E813" s="7"/>
      <c r="F813" s="3"/>
      <c r="I813" s="7"/>
      <c r="L813" s="7"/>
      <c r="M813" s="3"/>
    </row>
    <row r="814">
      <c r="C814" s="7"/>
      <c r="E814" s="7"/>
      <c r="F814" s="3"/>
      <c r="I814" s="7"/>
      <c r="L814" s="7"/>
      <c r="M814" s="3"/>
    </row>
    <row r="815">
      <c r="C815" s="7"/>
      <c r="E815" s="7"/>
      <c r="F815" s="3"/>
      <c r="I815" s="7"/>
      <c r="L815" s="7"/>
      <c r="M815" s="3"/>
    </row>
    <row r="816">
      <c r="C816" s="7"/>
      <c r="E816" s="7"/>
      <c r="F816" s="3"/>
      <c r="I816" s="7"/>
      <c r="L816" s="7"/>
      <c r="M816" s="3"/>
    </row>
    <row r="817">
      <c r="C817" s="7"/>
      <c r="E817" s="7"/>
      <c r="F817" s="3"/>
      <c r="I817" s="7"/>
      <c r="L817" s="7"/>
      <c r="M817" s="3"/>
    </row>
    <row r="818">
      <c r="C818" s="7"/>
      <c r="E818" s="7"/>
      <c r="F818" s="3"/>
      <c r="I818" s="7"/>
      <c r="L818" s="7"/>
      <c r="M818" s="3"/>
    </row>
    <row r="819">
      <c r="C819" s="7"/>
      <c r="E819" s="7"/>
      <c r="F819" s="3"/>
      <c r="I819" s="7"/>
      <c r="L819" s="7"/>
      <c r="M819" s="3"/>
    </row>
    <row r="820">
      <c r="C820" s="7"/>
      <c r="E820" s="7"/>
      <c r="F820" s="3"/>
      <c r="I820" s="7"/>
      <c r="L820" s="7"/>
      <c r="M820" s="3"/>
    </row>
    <row r="821">
      <c r="C821" s="7"/>
      <c r="E821" s="7"/>
      <c r="F821" s="3"/>
      <c r="I821" s="7"/>
      <c r="L821" s="7"/>
      <c r="M821" s="3"/>
    </row>
    <row r="822">
      <c r="C822" s="7"/>
      <c r="E822" s="7"/>
      <c r="F822" s="3"/>
      <c r="I822" s="7"/>
      <c r="L822" s="7"/>
      <c r="M822" s="3"/>
    </row>
    <row r="823">
      <c r="C823" s="7"/>
      <c r="E823" s="7"/>
      <c r="F823" s="3"/>
      <c r="I823" s="7"/>
      <c r="L823" s="7"/>
      <c r="M823" s="3"/>
    </row>
    <row r="824">
      <c r="C824" s="7"/>
      <c r="E824" s="7"/>
      <c r="F824" s="3"/>
      <c r="I824" s="7"/>
      <c r="L824" s="7"/>
      <c r="M824" s="3"/>
    </row>
    <row r="825">
      <c r="C825" s="7"/>
      <c r="E825" s="7"/>
      <c r="F825" s="3"/>
      <c r="I825" s="7"/>
      <c r="L825" s="7"/>
      <c r="M825" s="3"/>
    </row>
    <row r="826">
      <c r="C826" s="7"/>
      <c r="E826" s="7"/>
      <c r="F826" s="3"/>
      <c r="I826" s="7"/>
      <c r="L826" s="7"/>
      <c r="M826" s="3"/>
    </row>
    <row r="827">
      <c r="C827" s="7"/>
      <c r="E827" s="7"/>
      <c r="F827" s="3"/>
      <c r="I827" s="7"/>
      <c r="L827" s="7"/>
      <c r="M827" s="3"/>
    </row>
    <row r="828">
      <c r="C828" s="7"/>
      <c r="E828" s="7"/>
      <c r="F828" s="3"/>
      <c r="I828" s="7"/>
      <c r="L828" s="7"/>
      <c r="M828" s="3"/>
    </row>
    <row r="829">
      <c r="C829" s="7"/>
      <c r="E829" s="7"/>
      <c r="F829" s="3"/>
      <c r="I829" s="7"/>
      <c r="L829" s="7"/>
      <c r="M829" s="3"/>
    </row>
    <row r="830">
      <c r="C830" s="7"/>
      <c r="E830" s="7"/>
      <c r="F830" s="3"/>
      <c r="I830" s="7"/>
      <c r="L830" s="7"/>
      <c r="M830" s="3"/>
    </row>
    <row r="831">
      <c r="C831" s="7"/>
      <c r="E831" s="7"/>
      <c r="F831" s="3"/>
      <c r="I831" s="7"/>
      <c r="L831" s="7"/>
      <c r="M831" s="3"/>
    </row>
    <row r="832">
      <c r="C832" s="7"/>
      <c r="E832" s="7"/>
      <c r="F832" s="3"/>
      <c r="I832" s="7"/>
      <c r="L832" s="7"/>
      <c r="M832" s="3"/>
    </row>
    <row r="833">
      <c r="C833" s="7"/>
      <c r="E833" s="7"/>
      <c r="F833" s="3"/>
      <c r="I833" s="7"/>
      <c r="L833" s="7"/>
      <c r="M833" s="3"/>
    </row>
    <row r="834">
      <c r="C834" s="7"/>
      <c r="E834" s="7"/>
      <c r="F834" s="3"/>
      <c r="I834" s="7"/>
      <c r="L834" s="7"/>
      <c r="M834" s="3"/>
    </row>
    <row r="835">
      <c r="C835" s="7"/>
      <c r="E835" s="7"/>
      <c r="F835" s="3"/>
      <c r="I835" s="7"/>
      <c r="L835" s="7"/>
      <c r="M835" s="3"/>
    </row>
    <row r="836">
      <c r="C836" s="7"/>
      <c r="E836" s="7"/>
      <c r="F836" s="3"/>
      <c r="I836" s="7"/>
      <c r="L836" s="7"/>
      <c r="M836" s="3"/>
    </row>
    <row r="837">
      <c r="C837" s="7"/>
      <c r="E837" s="7"/>
      <c r="F837" s="3"/>
      <c r="I837" s="7"/>
      <c r="L837" s="7"/>
      <c r="M837" s="3"/>
    </row>
    <row r="838">
      <c r="C838" s="7"/>
      <c r="E838" s="7"/>
      <c r="F838" s="3"/>
      <c r="I838" s="7"/>
      <c r="L838" s="7"/>
      <c r="M838" s="3"/>
    </row>
    <row r="839">
      <c r="C839" s="7"/>
      <c r="E839" s="7"/>
      <c r="F839" s="3"/>
      <c r="I839" s="7"/>
      <c r="L839" s="7"/>
      <c r="M839" s="3"/>
    </row>
    <row r="840">
      <c r="C840" s="7"/>
      <c r="E840" s="7"/>
      <c r="F840" s="3"/>
      <c r="I840" s="7"/>
      <c r="L840" s="7"/>
      <c r="M840" s="3"/>
    </row>
    <row r="841">
      <c r="C841" s="7"/>
      <c r="E841" s="7"/>
      <c r="F841" s="3"/>
      <c r="I841" s="7"/>
      <c r="L841" s="7"/>
      <c r="M841" s="3"/>
    </row>
    <row r="842">
      <c r="C842" s="7"/>
      <c r="E842" s="7"/>
      <c r="F842" s="3"/>
      <c r="I842" s="7"/>
      <c r="L842" s="7"/>
      <c r="M842" s="3"/>
    </row>
    <row r="843">
      <c r="C843" s="7"/>
      <c r="E843" s="7"/>
      <c r="F843" s="3"/>
      <c r="I843" s="7"/>
      <c r="L843" s="7"/>
      <c r="M843" s="3"/>
    </row>
    <row r="844">
      <c r="C844" s="7"/>
      <c r="E844" s="7"/>
      <c r="F844" s="3"/>
      <c r="I844" s="7"/>
      <c r="L844" s="7"/>
      <c r="M844" s="3"/>
    </row>
    <row r="845">
      <c r="C845" s="7"/>
      <c r="E845" s="7"/>
      <c r="F845" s="3"/>
      <c r="I845" s="7"/>
      <c r="L845" s="7"/>
      <c r="M845" s="3"/>
    </row>
    <row r="846">
      <c r="C846" s="7"/>
      <c r="E846" s="7"/>
      <c r="F846" s="3"/>
      <c r="I846" s="7"/>
      <c r="L846" s="7"/>
      <c r="M846" s="3"/>
    </row>
    <row r="847">
      <c r="C847" s="7"/>
      <c r="E847" s="7"/>
      <c r="F847" s="3"/>
      <c r="I847" s="7"/>
      <c r="L847" s="7"/>
      <c r="M847" s="3"/>
    </row>
    <row r="848">
      <c r="C848" s="7"/>
      <c r="E848" s="7"/>
      <c r="F848" s="3"/>
      <c r="I848" s="7"/>
      <c r="L848" s="7"/>
      <c r="M848" s="3"/>
    </row>
    <row r="849">
      <c r="C849" s="7"/>
      <c r="E849" s="7"/>
      <c r="F849" s="3"/>
      <c r="I849" s="7"/>
      <c r="L849" s="7"/>
      <c r="M849" s="3"/>
    </row>
    <row r="850">
      <c r="C850" s="7"/>
      <c r="E850" s="7"/>
      <c r="F850" s="3"/>
      <c r="I850" s="7"/>
      <c r="L850" s="7"/>
      <c r="M850" s="3"/>
    </row>
    <row r="851">
      <c r="C851" s="7"/>
      <c r="E851" s="7"/>
      <c r="F851" s="3"/>
      <c r="I851" s="7"/>
      <c r="L851" s="7"/>
      <c r="M851" s="3"/>
    </row>
    <row r="852">
      <c r="C852" s="7"/>
      <c r="E852" s="7"/>
      <c r="F852" s="3"/>
      <c r="I852" s="7"/>
      <c r="L852" s="7"/>
      <c r="M852" s="3"/>
    </row>
    <row r="853">
      <c r="C853" s="7"/>
      <c r="E853" s="7"/>
      <c r="F853" s="3"/>
      <c r="I853" s="7"/>
      <c r="L853" s="7"/>
      <c r="M853" s="3"/>
    </row>
    <row r="854">
      <c r="C854" s="7"/>
      <c r="E854" s="7"/>
      <c r="F854" s="3"/>
      <c r="I854" s="7"/>
      <c r="L854" s="7"/>
      <c r="M854" s="3"/>
    </row>
    <row r="855">
      <c r="C855" s="7"/>
      <c r="E855" s="7"/>
      <c r="F855" s="3"/>
      <c r="I855" s="7"/>
      <c r="L855" s="7"/>
      <c r="M855" s="3"/>
    </row>
    <row r="856">
      <c r="C856" s="7"/>
      <c r="E856" s="7"/>
      <c r="F856" s="3"/>
      <c r="I856" s="7"/>
      <c r="L856" s="7"/>
      <c r="M856" s="3"/>
    </row>
    <row r="857">
      <c r="C857" s="7"/>
      <c r="E857" s="7"/>
      <c r="F857" s="3"/>
      <c r="I857" s="7"/>
      <c r="L857" s="7"/>
      <c r="M857" s="3"/>
    </row>
    <row r="858">
      <c r="C858" s="7"/>
      <c r="E858" s="7"/>
      <c r="F858" s="3"/>
      <c r="I858" s="7"/>
      <c r="L858" s="7"/>
      <c r="M858" s="3"/>
    </row>
    <row r="859">
      <c r="C859" s="7"/>
      <c r="E859" s="7"/>
      <c r="F859" s="3"/>
      <c r="I859" s="7"/>
      <c r="L859" s="7"/>
      <c r="M859" s="3"/>
    </row>
    <row r="860">
      <c r="C860" s="7"/>
      <c r="E860" s="7"/>
      <c r="F860" s="3"/>
      <c r="I860" s="7"/>
      <c r="L860" s="7"/>
      <c r="M860" s="3"/>
    </row>
    <row r="861">
      <c r="C861" s="7"/>
      <c r="E861" s="7"/>
      <c r="F861" s="3"/>
      <c r="I861" s="7"/>
      <c r="L861" s="7"/>
      <c r="M861" s="3"/>
    </row>
    <row r="862">
      <c r="C862" s="7"/>
      <c r="E862" s="7"/>
      <c r="F862" s="3"/>
      <c r="I862" s="7"/>
      <c r="L862" s="7"/>
      <c r="M862" s="3"/>
    </row>
    <row r="863">
      <c r="C863" s="7"/>
      <c r="E863" s="7"/>
      <c r="F863" s="3"/>
      <c r="I863" s="7"/>
      <c r="L863" s="7"/>
      <c r="M863" s="3"/>
    </row>
    <row r="864">
      <c r="C864" s="7"/>
      <c r="E864" s="7"/>
      <c r="F864" s="3"/>
      <c r="I864" s="7"/>
      <c r="L864" s="7"/>
      <c r="M864" s="3"/>
    </row>
    <row r="865">
      <c r="C865" s="7"/>
      <c r="E865" s="7"/>
      <c r="F865" s="3"/>
      <c r="I865" s="7"/>
      <c r="L865" s="7"/>
      <c r="M865" s="3"/>
    </row>
    <row r="866">
      <c r="C866" s="7"/>
      <c r="E866" s="7"/>
      <c r="F866" s="3"/>
      <c r="I866" s="7"/>
      <c r="L866" s="7"/>
      <c r="M866" s="3"/>
    </row>
    <row r="867">
      <c r="C867" s="7"/>
      <c r="E867" s="7"/>
      <c r="F867" s="3"/>
      <c r="I867" s="7"/>
      <c r="L867" s="7"/>
      <c r="M867" s="3"/>
    </row>
    <row r="868">
      <c r="C868" s="7"/>
      <c r="E868" s="7"/>
      <c r="F868" s="3"/>
      <c r="I868" s="7"/>
      <c r="L868" s="7"/>
      <c r="M868" s="3"/>
    </row>
    <row r="869">
      <c r="C869" s="7"/>
      <c r="E869" s="7"/>
      <c r="F869" s="3"/>
      <c r="I869" s="7"/>
      <c r="L869" s="7"/>
      <c r="M869" s="3"/>
    </row>
    <row r="870">
      <c r="C870" s="7"/>
      <c r="E870" s="7"/>
      <c r="F870" s="3"/>
      <c r="I870" s="7"/>
      <c r="L870" s="7"/>
      <c r="M870" s="3"/>
    </row>
    <row r="871">
      <c r="C871" s="7"/>
      <c r="E871" s="7"/>
      <c r="F871" s="3"/>
      <c r="I871" s="7"/>
      <c r="L871" s="7"/>
      <c r="M871" s="3"/>
    </row>
    <row r="872">
      <c r="C872" s="7"/>
      <c r="E872" s="7"/>
      <c r="F872" s="3"/>
      <c r="I872" s="7"/>
      <c r="L872" s="7"/>
      <c r="M872" s="3"/>
    </row>
    <row r="873">
      <c r="C873" s="7"/>
      <c r="E873" s="7"/>
      <c r="F873" s="3"/>
      <c r="I873" s="7"/>
      <c r="L873" s="7"/>
      <c r="M873" s="3"/>
    </row>
    <row r="874">
      <c r="C874" s="7"/>
      <c r="E874" s="7"/>
      <c r="F874" s="3"/>
      <c r="I874" s="7"/>
      <c r="L874" s="7"/>
      <c r="M874" s="3"/>
    </row>
    <row r="875">
      <c r="C875" s="7"/>
      <c r="E875" s="7"/>
      <c r="F875" s="3"/>
      <c r="I875" s="7"/>
      <c r="L875" s="7"/>
      <c r="M875" s="3"/>
    </row>
    <row r="876">
      <c r="C876" s="7"/>
      <c r="E876" s="7"/>
      <c r="F876" s="3"/>
      <c r="I876" s="7"/>
      <c r="L876" s="7"/>
      <c r="M876" s="3"/>
    </row>
    <row r="877">
      <c r="C877" s="7"/>
      <c r="E877" s="7"/>
      <c r="F877" s="3"/>
      <c r="I877" s="7"/>
      <c r="L877" s="7"/>
      <c r="M877" s="3"/>
    </row>
    <row r="878">
      <c r="C878" s="7"/>
      <c r="E878" s="7"/>
      <c r="F878" s="3"/>
      <c r="I878" s="7"/>
      <c r="L878" s="7"/>
      <c r="M878" s="3"/>
    </row>
    <row r="879">
      <c r="C879" s="7"/>
      <c r="E879" s="7"/>
      <c r="F879" s="3"/>
      <c r="I879" s="7"/>
      <c r="L879" s="7"/>
      <c r="M879" s="3"/>
    </row>
    <row r="880">
      <c r="C880" s="7"/>
      <c r="E880" s="7"/>
      <c r="F880" s="3"/>
      <c r="I880" s="7"/>
      <c r="L880" s="7"/>
      <c r="M880" s="3"/>
    </row>
    <row r="881">
      <c r="C881" s="7"/>
      <c r="E881" s="7"/>
      <c r="F881" s="3"/>
      <c r="I881" s="7"/>
      <c r="L881" s="7"/>
      <c r="M881" s="3"/>
    </row>
    <row r="882">
      <c r="C882" s="7"/>
      <c r="E882" s="7"/>
      <c r="F882" s="3"/>
      <c r="I882" s="7"/>
      <c r="L882" s="7"/>
      <c r="M882" s="3"/>
    </row>
    <row r="883">
      <c r="C883" s="7"/>
      <c r="E883" s="7"/>
      <c r="F883" s="3"/>
      <c r="I883" s="7"/>
      <c r="L883" s="7"/>
      <c r="M883" s="3"/>
    </row>
    <row r="884">
      <c r="C884" s="7"/>
      <c r="E884" s="7"/>
      <c r="F884" s="3"/>
      <c r="I884" s="7"/>
      <c r="L884" s="7"/>
      <c r="M884" s="3"/>
    </row>
    <row r="885">
      <c r="C885" s="7"/>
      <c r="E885" s="7"/>
      <c r="F885" s="3"/>
      <c r="I885" s="7"/>
      <c r="L885" s="7"/>
      <c r="M885" s="3"/>
    </row>
    <row r="886">
      <c r="C886" s="7"/>
      <c r="E886" s="7"/>
      <c r="F886" s="3"/>
      <c r="I886" s="7"/>
      <c r="L886" s="7"/>
      <c r="M886" s="3"/>
    </row>
    <row r="887">
      <c r="C887" s="7"/>
      <c r="E887" s="7"/>
      <c r="F887" s="3"/>
      <c r="I887" s="7"/>
      <c r="L887" s="7"/>
      <c r="M887" s="3"/>
    </row>
    <row r="888">
      <c r="C888" s="7"/>
      <c r="E888" s="7"/>
      <c r="F888" s="3"/>
      <c r="I888" s="7"/>
      <c r="L888" s="7"/>
      <c r="M888" s="3"/>
    </row>
    <row r="889">
      <c r="C889" s="7"/>
      <c r="E889" s="7"/>
      <c r="F889" s="3"/>
      <c r="I889" s="7"/>
      <c r="L889" s="7"/>
      <c r="M889" s="3"/>
    </row>
    <row r="890">
      <c r="C890" s="7"/>
      <c r="E890" s="7"/>
      <c r="F890" s="3"/>
      <c r="I890" s="7"/>
      <c r="L890" s="7"/>
      <c r="M890" s="3"/>
    </row>
    <row r="891">
      <c r="C891" s="7"/>
      <c r="E891" s="7"/>
      <c r="F891" s="3"/>
      <c r="I891" s="7"/>
      <c r="L891" s="7"/>
      <c r="M891" s="3"/>
    </row>
    <row r="892">
      <c r="C892" s="7"/>
      <c r="E892" s="7"/>
      <c r="F892" s="3"/>
      <c r="I892" s="7"/>
      <c r="L892" s="7"/>
      <c r="M892" s="3"/>
    </row>
    <row r="893">
      <c r="C893" s="7"/>
      <c r="E893" s="7"/>
      <c r="F893" s="3"/>
      <c r="I893" s="7"/>
      <c r="L893" s="7"/>
      <c r="M893" s="3"/>
    </row>
    <row r="894">
      <c r="C894" s="7"/>
      <c r="E894" s="7"/>
      <c r="F894" s="3"/>
      <c r="I894" s="7"/>
      <c r="L894" s="7"/>
      <c r="M894" s="3"/>
    </row>
    <row r="895">
      <c r="C895" s="7"/>
      <c r="E895" s="7"/>
      <c r="F895" s="3"/>
      <c r="I895" s="7"/>
      <c r="L895" s="7"/>
      <c r="M895" s="3"/>
    </row>
    <row r="896">
      <c r="C896" s="7"/>
      <c r="E896" s="7"/>
      <c r="F896" s="3"/>
      <c r="I896" s="7"/>
      <c r="L896" s="7"/>
      <c r="M896" s="3"/>
    </row>
    <row r="897">
      <c r="C897" s="7"/>
      <c r="E897" s="7"/>
      <c r="F897" s="3"/>
      <c r="I897" s="7"/>
      <c r="L897" s="7"/>
      <c r="M897" s="3"/>
    </row>
    <row r="898">
      <c r="C898" s="7"/>
      <c r="E898" s="7"/>
      <c r="F898" s="3"/>
      <c r="I898" s="7"/>
      <c r="L898" s="7"/>
      <c r="M898" s="3"/>
    </row>
    <row r="899">
      <c r="C899" s="7"/>
      <c r="E899" s="7"/>
      <c r="F899" s="3"/>
      <c r="I899" s="7"/>
      <c r="L899" s="7"/>
      <c r="M899" s="3"/>
    </row>
    <row r="900">
      <c r="C900" s="7"/>
      <c r="E900" s="7"/>
      <c r="F900" s="3"/>
      <c r="I900" s="7"/>
      <c r="L900" s="7"/>
      <c r="M900" s="3"/>
    </row>
    <row r="901">
      <c r="C901" s="7"/>
      <c r="E901" s="7"/>
      <c r="F901" s="3"/>
      <c r="I901" s="7"/>
      <c r="L901" s="7"/>
      <c r="M901" s="3"/>
    </row>
    <row r="902">
      <c r="C902" s="7"/>
      <c r="E902" s="7"/>
      <c r="F902" s="3"/>
      <c r="I902" s="7"/>
      <c r="L902" s="7"/>
      <c r="M902" s="3"/>
    </row>
    <row r="903">
      <c r="C903" s="7"/>
      <c r="E903" s="7"/>
      <c r="F903" s="3"/>
      <c r="I903" s="7"/>
      <c r="L903" s="7"/>
      <c r="M903" s="3"/>
    </row>
    <row r="904">
      <c r="C904" s="7"/>
      <c r="E904" s="7"/>
      <c r="F904" s="3"/>
      <c r="I904" s="7"/>
      <c r="L904" s="7"/>
      <c r="M904" s="3"/>
    </row>
    <row r="905">
      <c r="C905" s="7"/>
      <c r="E905" s="7"/>
      <c r="F905" s="3"/>
      <c r="I905" s="7"/>
      <c r="L905" s="7"/>
      <c r="M905" s="3"/>
    </row>
    <row r="906">
      <c r="C906" s="7"/>
      <c r="E906" s="7"/>
      <c r="F906" s="3"/>
      <c r="I906" s="7"/>
      <c r="L906" s="7"/>
      <c r="M906" s="3"/>
    </row>
    <row r="907">
      <c r="C907" s="7"/>
      <c r="E907" s="7"/>
      <c r="F907" s="3"/>
      <c r="I907" s="7"/>
      <c r="L907" s="7"/>
      <c r="M907" s="3"/>
    </row>
    <row r="908">
      <c r="C908" s="7"/>
      <c r="E908" s="7"/>
      <c r="F908" s="3"/>
      <c r="I908" s="7"/>
      <c r="L908" s="7"/>
      <c r="M908" s="3"/>
    </row>
    <row r="909">
      <c r="C909" s="7"/>
      <c r="E909" s="7"/>
      <c r="F909" s="3"/>
      <c r="I909" s="7"/>
      <c r="L909" s="7"/>
      <c r="M909" s="3"/>
    </row>
    <row r="910">
      <c r="C910" s="7"/>
      <c r="E910" s="7"/>
      <c r="F910" s="3"/>
      <c r="I910" s="7"/>
      <c r="L910" s="7"/>
      <c r="M910" s="3"/>
    </row>
    <row r="911">
      <c r="C911" s="7"/>
      <c r="E911" s="7"/>
      <c r="F911" s="3"/>
      <c r="I911" s="7"/>
      <c r="L911" s="7"/>
      <c r="M911" s="3"/>
    </row>
    <row r="912">
      <c r="C912" s="7"/>
      <c r="E912" s="7"/>
      <c r="F912" s="3"/>
      <c r="I912" s="7"/>
      <c r="L912" s="7"/>
      <c r="M912" s="3"/>
    </row>
    <row r="913">
      <c r="C913" s="7"/>
      <c r="E913" s="7"/>
      <c r="F913" s="3"/>
      <c r="I913" s="7"/>
      <c r="L913" s="7"/>
      <c r="M913" s="3"/>
    </row>
    <row r="914">
      <c r="C914" s="7"/>
      <c r="E914" s="7"/>
      <c r="F914" s="3"/>
      <c r="I914" s="7"/>
      <c r="L914" s="7"/>
      <c r="M914" s="3"/>
    </row>
    <row r="915">
      <c r="C915" s="7"/>
      <c r="E915" s="7"/>
      <c r="F915" s="3"/>
      <c r="I915" s="7"/>
      <c r="L915" s="7"/>
      <c r="M915" s="3"/>
    </row>
    <row r="916">
      <c r="C916" s="7"/>
      <c r="E916" s="7"/>
      <c r="F916" s="3"/>
      <c r="I916" s="7"/>
      <c r="L916" s="7"/>
      <c r="M916" s="3"/>
    </row>
    <row r="917">
      <c r="C917" s="7"/>
      <c r="E917" s="7"/>
      <c r="F917" s="3"/>
      <c r="I917" s="7"/>
      <c r="L917" s="7"/>
      <c r="M917" s="3"/>
    </row>
    <row r="918">
      <c r="C918" s="7"/>
      <c r="E918" s="7"/>
      <c r="F918" s="3"/>
      <c r="I918" s="7"/>
      <c r="L918" s="7"/>
      <c r="M918" s="3"/>
    </row>
    <row r="919">
      <c r="C919" s="7"/>
      <c r="E919" s="7"/>
      <c r="F919" s="3"/>
      <c r="I919" s="7"/>
      <c r="L919" s="7"/>
      <c r="M919" s="3"/>
    </row>
    <row r="920">
      <c r="C920" s="7"/>
      <c r="E920" s="7"/>
      <c r="F920" s="3"/>
      <c r="I920" s="7"/>
      <c r="L920" s="7"/>
      <c r="M920" s="3"/>
    </row>
    <row r="921">
      <c r="C921" s="7"/>
      <c r="E921" s="7"/>
      <c r="F921" s="3"/>
      <c r="I921" s="7"/>
      <c r="L921" s="7"/>
      <c r="M921" s="3"/>
    </row>
    <row r="922">
      <c r="C922" s="7"/>
      <c r="E922" s="7"/>
      <c r="F922" s="3"/>
      <c r="I922" s="7"/>
      <c r="L922" s="7"/>
      <c r="M922" s="3"/>
    </row>
    <row r="923">
      <c r="C923" s="7"/>
      <c r="E923" s="7"/>
      <c r="F923" s="3"/>
      <c r="I923" s="7"/>
      <c r="L923" s="7"/>
      <c r="M923" s="3"/>
    </row>
    <row r="924">
      <c r="C924" s="7"/>
      <c r="E924" s="7"/>
      <c r="F924" s="3"/>
      <c r="I924" s="7"/>
      <c r="L924" s="7"/>
      <c r="M924" s="3"/>
    </row>
    <row r="925">
      <c r="C925" s="7"/>
      <c r="E925" s="7"/>
      <c r="F925" s="3"/>
      <c r="I925" s="7"/>
      <c r="L925" s="7"/>
      <c r="M925" s="3"/>
    </row>
    <row r="926">
      <c r="C926" s="7"/>
      <c r="E926" s="7"/>
      <c r="F926" s="3"/>
      <c r="I926" s="7"/>
      <c r="L926" s="7"/>
      <c r="M926" s="3"/>
    </row>
    <row r="927">
      <c r="C927" s="7"/>
      <c r="E927" s="7"/>
      <c r="F927" s="3"/>
      <c r="I927" s="7"/>
      <c r="L927" s="7"/>
      <c r="M927" s="3"/>
    </row>
    <row r="928">
      <c r="C928" s="7"/>
      <c r="E928" s="7"/>
      <c r="F928" s="3"/>
      <c r="I928" s="7"/>
      <c r="L928" s="7"/>
      <c r="M928" s="3"/>
    </row>
    <row r="929">
      <c r="C929" s="7"/>
      <c r="E929" s="7"/>
      <c r="F929" s="3"/>
      <c r="I929" s="7"/>
      <c r="L929" s="7"/>
      <c r="M929" s="3"/>
    </row>
    <row r="930">
      <c r="C930" s="7"/>
      <c r="E930" s="7"/>
      <c r="F930" s="3"/>
      <c r="I930" s="7"/>
      <c r="L930" s="7"/>
      <c r="M930" s="3"/>
    </row>
    <row r="931">
      <c r="C931" s="7"/>
      <c r="E931" s="7"/>
      <c r="F931" s="3"/>
      <c r="I931" s="7"/>
      <c r="L931" s="7"/>
      <c r="M931" s="3"/>
    </row>
    <row r="932">
      <c r="C932" s="7"/>
      <c r="E932" s="7"/>
      <c r="F932" s="3"/>
      <c r="I932" s="7"/>
      <c r="L932" s="7"/>
      <c r="M932" s="3"/>
    </row>
    <row r="933">
      <c r="C933" s="7"/>
      <c r="E933" s="7"/>
      <c r="F933" s="3"/>
      <c r="I933" s="7"/>
      <c r="L933" s="7"/>
      <c r="M933" s="3"/>
    </row>
    <row r="934">
      <c r="C934" s="7"/>
      <c r="E934" s="7"/>
      <c r="F934" s="3"/>
      <c r="I934" s="7"/>
      <c r="L934" s="7"/>
      <c r="M934" s="3"/>
    </row>
    <row r="935">
      <c r="C935" s="7"/>
      <c r="E935" s="7"/>
      <c r="F935" s="3"/>
      <c r="I935" s="7"/>
      <c r="L935" s="7"/>
      <c r="M935" s="3"/>
    </row>
    <row r="936">
      <c r="C936" s="7"/>
      <c r="E936" s="7"/>
      <c r="F936" s="3"/>
      <c r="I936" s="7"/>
      <c r="L936" s="7"/>
      <c r="M936" s="3"/>
    </row>
    <row r="937">
      <c r="C937" s="7"/>
      <c r="E937" s="7"/>
      <c r="F937" s="3"/>
      <c r="I937" s="7"/>
      <c r="L937" s="7"/>
      <c r="M937" s="3"/>
    </row>
    <row r="938">
      <c r="C938" s="7"/>
      <c r="E938" s="7"/>
      <c r="F938" s="3"/>
      <c r="I938" s="7"/>
      <c r="L938" s="7"/>
      <c r="M938" s="3"/>
    </row>
    <row r="939">
      <c r="C939" s="7"/>
      <c r="E939" s="7"/>
      <c r="F939" s="3"/>
      <c r="I939" s="7"/>
      <c r="L939" s="7"/>
      <c r="M939" s="3"/>
    </row>
    <row r="940">
      <c r="C940" s="7"/>
      <c r="E940" s="7"/>
      <c r="F940" s="3"/>
      <c r="I940" s="7"/>
      <c r="L940" s="7"/>
      <c r="M940" s="3"/>
    </row>
    <row r="941">
      <c r="C941" s="7"/>
      <c r="E941" s="7"/>
      <c r="F941" s="3"/>
      <c r="I941" s="7"/>
      <c r="L941" s="7"/>
      <c r="M941" s="3"/>
    </row>
    <row r="942">
      <c r="C942" s="7"/>
      <c r="E942" s="7"/>
      <c r="F942" s="3"/>
      <c r="I942" s="7"/>
      <c r="L942" s="7"/>
      <c r="M942" s="3"/>
    </row>
    <row r="943">
      <c r="C943" s="7"/>
      <c r="E943" s="7"/>
      <c r="F943" s="3"/>
      <c r="I943" s="7"/>
      <c r="L943" s="7"/>
      <c r="M943" s="3"/>
    </row>
    <row r="944">
      <c r="C944" s="7"/>
      <c r="E944" s="7"/>
      <c r="F944" s="3"/>
      <c r="I944" s="7"/>
      <c r="L944" s="7"/>
      <c r="M944" s="3"/>
    </row>
    <row r="945">
      <c r="C945" s="7"/>
      <c r="E945" s="7"/>
      <c r="F945" s="3"/>
      <c r="I945" s="7"/>
      <c r="L945" s="7"/>
      <c r="M945" s="3"/>
    </row>
    <row r="946">
      <c r="C946" s="7"/>
      <c r="E946" s="7"/>
      <c r="F946" s="3"/>
      <c r="I946" s="7"/>
      <c r="L946" s="7"/>
      <c r="M946" s="3"/>
    </row>
    <row r="947">
      <c r="C947" s="7"/>
      <c r="E947" s="7"/>
      <c r="F947" s="3"/>
      <c r="I947" s="7"/>
      <c r="L947" s="7"/>
      <c r="M947" s="3"/>
    </row>
    <row r="948">
      <c r="C948" s="7"/>
      <c r="E948" s="7"/>
      <c r="F948" s="3"/>
      <c r="I948" s="7"/>
      <c r="L948" s="7"/>
      <c r="M948" s="3"/>
    </row>
    <row r="949">
      <c r="C949" s="7"/>
      <c r="E949" s="7"/>
      <c r="F949" s="3"/>
      <c r="I949" s="7"/>
      <c r="L949" s="7"/>
      <c r="M949" s="3"/>
    </row>
    <row r="950">
      <c r="C950" s="7"/>
      <c r="E950" s="7"/>
      <c r="F950" s="3"/>
      <c r="I950" s="7"/>
      <c r="L950" s="7"/>
      <c r="M950" s="3"/>
    </row>
    <row r="951">
      <c r="C951" s="7"/>
      <c r="E951" s="7"/>
      <c r="F951" s="3"/>
      <c r="I951" s="7"/>
      <c r="L951" s="7"/>
      <c r="M951" s="3"/>
    </row>
    <row r="952">
      <c r="C952" s="7"/>
      <c r="E952" s="7"/>
      <c r="F952" s="3"/>
      <c r="I952" s="7"/>
      <c r="L952" s="7"/>
      <c r="M952" s="3"/>
    </row>
    <row r="953">
      <c r="C953" s="7"/>
      <c r="E953" s="7"/>
      <c r="F953" s="3"/>
      <c r="I953" s="7"/>
      <c r="L953" s="7"/>
      <c r="M953" s="3"/>
    </row>
    <row r="954">
      <c r="C954" s="7"/>
      <c r="E954" s="7"/>
      <c r="F954" s="3"/>
      <c r="I954" s="7"/>
      <c r="L954" s="7"/>
      <c r="M954" s="3"/>
    </row>
    <row r="955">
      <c r="C955" s="7"/>
      <c r="E955" s="7"/>
      <c r="F955" s="3"/>
      <c r="I955" s="7"/>
      <c r="L955" s="7"/>
      <c r="M955" s="3"/>
    </row>
    <row r="956">
      <c r="C956" s="7"/>
      <c r="E956" s="7"/>
      <c r="F956" s="3"/>
      <c r="I956" s="7"/>
      <c r="L956" s="7"/>
      <c r="M956" s="3"/>
    </row>
    <row r="957">
      <c r="C957" s="7"/>
      <c r="E957" s="7"/>
      <c r="F957" s="3"/>
      <c r="I957" s="7"/>
      <c r="L957" s="7"/>
      <c r="M957" s="3"/>
    </row>
    <row r="958">
      <c r="C958" s="7"/>
      <c r="E958" s="7"/>
      <c r="F958" s="3"/>
      <c r="I958" s="7"/>
      <c r="L958" s="7"/>
      <c r="M958" s="3"/>
    </row>
    <row r="959">
      <c r="C959" s="7"/>
      <c r="E959" s="7"/>
      <c r="F959" s="3"/>
      <c r="I959" s="7"/>
      <c r="L959" s="7"/>
      <c r="M959" s="3"/>
    </row>
    <row r="960">
      <c r="C960" s="7"/>
      <c r="E960" s="7"/>
      <c r="F960" s="3"/>
      <c r="I960" s="7"/>
      <c r="L960" s="7"/>
      <c r="M960" s="3"/>
    </row>
    <row r="961">
      <c r="C961" s="7"/>
      <c r="E961" s="7"/>
      <c r="F961" s="3"/>
      <c r="I961" s="7"/>
      <c r="L961" s="7"/>
      <c r="M961" s="3"/>
    </row>
    <row r="962">
      <c r="C962" s="7"/>
      <c r="E962" s="7"/>
      <c r="F962" s="3"/>
      <c r="I962" s="7"/>
      <c r="L962" s="7"/>
      <c r="M962" s="3"/>
    </row>
    <row r="963">
      <c r="C963" s="7"/>
      <c r="E963" s="7"/>
      <c r="F963" s="3"/>
      <c r="I963" s="7"/>
      <c r="L963" s="7"/>
      <c r="M963" s="3"/>
    </row>
    <row r="964">
      <c r="C964" s="7"/>
      <c r="E964" s="7"/>
      <c r="F964" s="3"/>
      <c r="I964" s="7"/>
      <c r="L964" s="7"/>
      <c r="M964" s="3"/>
    </row>
    <row r="965">
      <c r="C965" s="7"/>
      <c r="E965" s="7"/>
      <c r="F965" s="3"/>
      <c r="I965" s="7"/>
      <c r="L965" s="7"/>
      <c r="M965" s="3"/>
    </row>
    <row r="966">
      <c r="C966" s="7"/>
      <c r="E966" s="7"/>
      <c r="F966" s="3"/>
      <c r="I966" s="7"/>
      <c r="L966" s="7"/>
      <c r="M966" s="3"/>
    </row>
    <row r="967">
      <c r="C967" s="7"/>
      <c r="E967" s="7"/>
      <c r="F967" s="3"/>
      <c r="I967" s="7"/>
      <c r="L967" s="7"/>
      <c r="M967" s="3"/>
    </row>
    <row r="968">
      <c r="C968" s="7"/>
      <c r="E968" s="7"/>
      <c r="F968" s="3"/>
      <c r="I968" s="7"/>
      <c r="L968" s="7"/>
      <c r="M968" s="3"/>
    </row>
    <row r="969">
      <c r="C969" s="7"/>
      <c r="E969" s="7"/>
      <c r="F969" s="3"/>
      <c r="I969" s="7"/>
      <c r="L969" s="7"/>
      <c r="M969" s="3"/>
    </row>
    <row r="970">
      <c r="C970" s="7"/>
      <c r="E970" s="7"/>
      <c r="F970" s="3"/>
      <c r="I970" s="7"/>
      <c r="L970" s="7"/>
      <c r="M970" s="3"/>
    </row>
    <row r="971">
      <c r="C971" s="7"/>
      <c r="E971" s="7"/>
      <c r="F971" s="3"/>
      <c r="I971" s="7"/>
      <c r="L971" s="7"/>
      <c r="M971" s="3"/>
    </row>
    <row r="972">
      <c r="C972" s="7"/>
      <c r="E972" s="7"/>
      <c r="F972" s="3"/>
      <c r="I972" s="7"/>
      <c r="L972" s="7"/>
      <c r="M972" s="3"/>
    </row>
    <row r="973">
      <c r="C973" s="7"/>
      <c r="E973" s="7"/>
      <c r="F973" s="3"/>
      <c r="I973" s="7"/>
      <c r="L973" s="7"/>
      <c r="M973" s="3"/>
    </row>
    <row r="974">
      <c r="C974" s="7"/>
      <c r="E974" s="7"/>
      <c r="F974" s="3"/>
      <c r="I974" s="7"/>
      <c r="L974" s="7"/>
      <c r="M974" s="3"/>
    </row>
    <row r="975">
      <c r="C975" s="7"/>
      <c r="E975" s="7"/>
      <c r="F975" s="3"/>
      <c r="I975" s="7"/>
      <c r="L975" s="7"/>
      <c r="M975" s="3"/>
    </row>
    <row r="976">
      <c r="C976" s="7"/>
      <c r="E976" s="7"/>
      <c r="F976" s="3"/>
      <c r="I976" s="7"/>
      <c r="L976" s="7"/>
      <c r="M976" s="3"/>
    </row>
    <row r="977">
      <c r="C977" s="7"/>
      <c r="E977" s="7"/>
      <c r="F977" s="3"/>
      <c r="I977" s="7"/>
      <c r="L977" s="7"/>
      <c r="M977" s="3"/>
    </row>
    <row r="978">
      <c r="C978" s="7"/>
      <c r="E978" s="7"/>
      <c r="F978" s="3"/>
      <c r="I978" s="7"/>
      <c r="L978" s="7"/>
      <c r="M978" s="3"/>
    </row>
    <row r="979">
      <c r="C979" s="7"/>
      <c r="E979" s="7"/>
      <c r="F979" s="3"/>
      <c r="I979" s="7"/>
      <c r="L979" s="7"/>
      <c r="M979" s="3"/>
    </row>
    <row r="980">
      <c r="C980" s="7"/>
      <c r="E980" s="7"/>
      <c r="F980" s="3"/>
      <c r="I980" s="7"/>
      <c r="L980" s="7"/>
      <c r="M980" s="3"/>
    </row>
    <row r="981">
      <c r="C981" s="7"/>
      <c r="E981" s="7"/>
      <c r="F981" s="3"/>
      <c r="I981" s="7"/>
      <c r="L981" s="7"/>
      <c r="M981" s="3"/>
    </row>
    <row r="982">
      <c r="C982" s="7"/>
      <c r="E982" s="7"/>
      <c r="F982" s="3"/>
      <c r="I982" s="7"/>
      <c r="L982" s="7"/>
      <c r="M982" s="3"/>
    </row>
    <row r="983">
      <c r="C983" s="7"/>
      <c r="E983" s="7"/>
      <c r="F983" s="3"/>
      <c r="I983" s="7"/>
      <c r="L983" s="7"/>
      <c r="M983" s="3"/>
    </row>
    <row r="984">
      <c r="C984" s="7"/>
      <c r="E984" s="7"/>
      <c r="F984" s="3"/>
      <c r="I984" s="7"/>
      <c r="L984" s="7"/>
      <c r="M984" s="3"/>
    </row>
    <row r="985">
      <c r="C985" s="7"/>
      <c r="E985" s="7"/>
      <c r="F985" s="3"/>
      <c r="I985" s="7"/>
      <c r="L985" s="7"/>
      <c r="M985" s="3"/>
    </row>
    <row r="986">
      <c r="C986" s="7"/>
      <c r="E986" s="7"/>
      <c r="F986" s="3"/>
      <c r="I986" s="7"/>
      <c r="L986" s="7"/>
      <c r="M986" s="3"/>
    </row>
    <row r="987">
      <c r="C987" s="7"/>
      <c r="E987" s="7"/>
      <c r="F987" s="3"/>
      <c r="I987" s="7"/>
      <c r="L987" s="7"/>
      <c r="M987" s="3"/>
    </row>
    <row r="988">
      <c r="C988" s="7"/>
      <c r="E988" s="7"/>
      <c r="F988" s="3"/>
      <c r="I988" s="7"/>
      <c r="L988" s="7"/>
      <c r="M988" s="3"/>
    </row>
    <row r="989">
      <c r="C989" s="7"/>
      <c r="E989" s="7"/>
      <c r="F989" s="3"/>
      <c r="I989" s="7"/>
      <c r="L989" s="7"/>
      <c r="M989" s="3"/>
    </row>
    <row r="990">
      <c r="C990" s="7"/>
      <c r="E990" s="7"/>
      <c r="F990" s="3"/>
      <c r="I990" s="7"/>
      <c r="L990" s="7"/>
      <c r="M990" s="3"/>
    </row>
    <row r="991">
      <c r="C991" s="7"/>
      <c r="E991" s="7"/>
      <c r="F991" s="3"/>
      <c r="I991" s="7"/>
      <c r="L991" s="7"/>
      <c r="M991" s="3"/>
    </row>
    <row r="992">
      <c r="C992" s="7"/>
      <c r="E992" s="7"/>
      <c r="F992" s="3"/>
      <c r="I992" s="7"/>
      <c r="L992" s="7"/>
      <c r="M992" s="3"/>
    </row>
    <row r="993">
      <c r="C993" s="7"/>
      <c r="E993" s="7"/>
      <c r="F993" s="3"/>
      <c r="I993" s="7"/>
      <c r="L993" s="7"/>
      <c r="M993" s="3"/>
    </row>
    <row r="994">
      <c r="C994" s="7"/>
      <c r="E994" s="7"/>
      <c r="F994" s="3"/>
      <c r="I994" s="7"/>
      <c r="L994" s="7"/>
      <c r="M994" s="3"/>
    </row>
    <row r="995">
      <c r="C995" s="7"/>
      <c r="E995" s="7"/>
      <c r="F995" s="3"/>
      <c r="I995" s="7"/>
      <c r="L995" s="7"/>
      <c r="M995" s="3"/>
    </row>
    <row r="996">
      <c r="C996" s="7"/>
      <c r="E996" s="7"/>
      <c r="F996" s="3"/>
      <c r="I996" s="7"/>
      <c r="L996" s="7"/>
      <c r="M996" s="3"/>
    </row>
    <row r="997">
      <c r="C997" s="7"/>
      <c r="E997" s="7"/>
      <c r="F997" s="3"/>
      <c r="I997" s="7"/>
      <c r="L997" s="7"/>
      <c r="M997" s="3"/>
    </row>
    <row r="998">
      <c r="C998" s="7"/>
      <c r="E998" s="7"/>
      <c r="F998" s="3"/>
      <c r="I998" s="7"/>
      <c r="L998" s="7"/>
      <c r="M998" s="3"/>
    </row>
    <row r="999">
      <c r="C999" s="7"/>
      <c r="E999" s="7"/>
      <c r="F999" s="3"/>
      <c r="I999" s="7"/>
      <c r="L999" s="7"/>
      <c r="M999" s="3"/>
    </row>
    <row r="1000">
      <c r="C1000" s="7"/>
      <c r="E1000" s="7"/>
      <c r="F1000" s="3"/>
      <c r="I1000" s="7"/>
      <c r="L1000" s="7"/>
      <c r="M1000" s="3"/>
    </row>
    <row r="1001">
      <c r="C1001" s="7"/>
      <c r="E1001" s="7"/>
      <c r="F1001" s="3"/>
      <c r="I1001" s="7"/>
      <c r="L1001" s="7"/>
      <c r="M1001" s="3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6.0</v>
      </c>
      <c r="C3" s="12">
        <v>6.0</v>
      </c>
      <c r="D3" s="7">
        <f t="shared" ref="D3:D62" si="1">(C3-B3)/B3</f>
        <v>0</v>
      </c>
      <c r="E3" s="12">
        <v>0.04</v>
      </c>
      <c r="F3" s="9">
        <v>6.0</v>
      </c>
      <c r="G3" s="9">
        <v>6.0</v>
      </c>
      <c r="H3" s="7">
        <f t="shared" ref="H3:H62" si="2">(G3-F3)/F3</f>
        <v>0</v>
      </c>
      <c r="I3" s="9">
        <v>0.02</v>
      </c>
      <c r="J3" s="9">
        <v>6.0</v>
      </c>
      <c r="K3" s="9">
        <v>6.0</v>
      </c>
      <c r="L3" s="9">
        <v>0.09</v>
      </c>
      <c r="M3" s="13">
        <f t="shared" ref="M3:M62" si="3">MAX(B3,F3,J3)</f>
        <v>6</v>
      </c>
      <c r="N3" s="13">
        <f t="shared" ref="N3:N62" si="4">MIN(C3,G3)</f>
        <v>6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0.04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0.02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0.09</v>
      </c>
    </row>
    <row r="4">
      <c r="A4" s="1" t="s">
        <v>9</v>
      </c>
      <c r="B4" s="12">
        <v>6.0</v>
      </c>
      <c r="C4" s="12">
        <v>6.0</v>
      </c>
      <c r="D4" s="7">
        <f t="shared" si="1"/>
        <v>0</v>
      </c>
      <c r="E4" s="12">
        <v>0.07</v>
      </c>
      <c r="F4" s="9">
        <v>6.0</v>
      </c>
      <c r="G4" s="9">
        <v>6.0</v>
      </c>
      <c r="H4" s="7">
        <f t="shared" si="2"/>
        <v>0</v>
      </c>
      <c r="I4" s="9">
        <v>0.03</v>
      </c>
      <c r="J4" s="9">
        <v>6.0</v>
      </c>
      <c r="K4" s="9">
        <v>6.0</v>
      </c>
      <c r="L4" s="9">
        <v>0.09</v>
      </c>
      <c r="M4" s="13">
        <f t="shared" si="3"/>
        <v>6</v>
      </c>
      <c r="N4" s="13">
        <f t="shared" si="4"/>
        <v>6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0.07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0.03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0.09</v>
      </c>
    </row>
    <row r="5">
      <c r="A5" s="1" t="s">
        <v>10</v>
      </c>
      <c r="B5" s="12">
        <v>12.0</v>
      </c>
      <c r="C5" s="12">
        <v>12.0</v>
      </c>
      <c r="D5" s="7">
        <f t="shared" si="1"/>
        <v>0</v>
      </c>
      <c r="E5" s="12">
        <v>0.2</v>
      </c>
      <c r="F5" s="9">
        <v>12.0</v>
      </c>
      <c r="G5" s="9">
        <v>12.0</v>
      </c>
      <c r="H5" s="7">
        <f t="shared" si="2"/>
        <v>0</v>
      </c>
      <c r="I5" s="9">
        <v>0.04</v>
      </c>
      <c r="J5" s="9">
        <v>12.0</v>
      </c>
      <c r="K5" s="9">
        <v>12.0</v>
      </c>
      <c r="L5" s="9">
        <v>2.21</v>
      </c>
      <c r="M5" s="13">
        <f t="shared" si="3"/>
        <v>12</v>
      </c>
      <c r="N5" s="13">
        <f t="shared" si="4"/>
        <v>12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0.2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0.04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2.21</v>
      </c>
    </row>
    <row r="6">
      <c r="A6" s="1" t="s">
        <v>11</v>
      </c>
      <c r="B6" s="12">
        <v>7.0</v>
      </c>
      <c r="C6" s="12">
        <v>7.0</v>
      </c>
      <c r="D6" s="7">
        <f t="shared" si="1"/>
        <v>0</v>
      </c>
      <c r="E6" s="12">
        <v>0.31</v>
      </c>
      <c r="F6" s="9">
        <v>7.0</v>
      </c>
      <c r="G6" s="9">
        <v>7.0</v>
      </c>
      <c r="H6" s="7">
        <f t="shared" si="2"/>
        <v>0</v>
      </c>
      <c r="I6" s="9">
        <v>0.05</v>
      </c>
      <c r="J6" s="9">
        <v>7.0</v>
      </c>
      <c r="K6" s="9">
        <v>7.0</v>
      </c>
      <c r="L6" s="9">
        <v>0.13</v>
      </c>
      <c r="M6" s="13">
        <f t="shared" si="3"/>
        <v>7</v>
      </c>
      <c r="N6" s="13">
        <f t="shared" si="4"/>
        <v>7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0.31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0.05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0.13</v>
      </c>
    </row>
    <row r="7">
      <c r="A7" s="1" t="s">
        <v>12</v>
      </c>
      <c r="B7" s="12">
        <v>9.0</v>
      </c>
      <c r="C7" s="12">
        <v>9.0</v>
      </c>
      <c r="D7" s="7">
        <f t="shared" si="1"/>
        <v>0</v>
      </c>
      <c r="E7" s="12">
        <v>0.33</v>
      </c>
      <c r="F7" s="9">
        <v>9.0</v>
      </c>
      <c r="G7" s="9">
        <v>9.0</v>
      </c>
      <c r="H7" s="7">
        <f t="shared" si="2"/>
        <v>0</v>
      </c>
      <c r="I7" s="9">
        <v>0.04</v>
      </c>
      <c r="J7" s="9">
        <v>9.0</v>
      </c>
      <c r="K7" s="9">
        <v>9.0</v>
      </c>
      <c r="L7" s="9">
        <v>1.19</v>
      </c>
      <c r="M7" s="13">
        <f t="shared" si="3"/>
        <v>9</v>
      </c>
      <c r="N7" s="13">
        <f t="shared" si="4"/>
        <v>9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0.33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0.04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1.19</v>
      </c>
    </row>
    <row r="8">
      <c r="A8" s="1" t="s">
        <v>13</v>
      </c>
      <c r="B8" s="12">
        <v>10.0</v>
      </c>
      <c r="C8" s="12">
        <v>10.0</v>
      </c>
      <c r="D8" s="7">
        <f t="shared" si="1"/>
        <v>0</v>
      </c>
      <c r="E8" s="12">
        <v>0.46</v>
      </c>
      <c r="F8" s="9">
        <v>10.0</v>
      </c>
      <c r="G8" s="9">
        <v>10.0</v>
      </c>
      <c r="H8" s="7">
        <f t="shared" si="2"/>
        <v>0</v>
      </c>
      <c r="I8" s="9">
        <v>0.09</v>
      </c>
      <c r="J8" s="9">
        <v>10.0</v>
      </c>
      <c r="K8" s="9">
        <v>10.0</v>
      </c>
      <c r="L8" s="9">
        <v>7.12</v>
      </c>
      <c r="M8" s="13">
        <f t="shared" si="3"/>
        <v>10</v>
      </c>
      <c r="N8" s="13">
        <f t="shared" si="4"/>
        <v>10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0.46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0.09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7.12</v>
      </c>
    </row>
    <row r="9">
      <c r="A9" s="1" t="s">
        <v>14</v>
      </c>
      <c r="B9" s="12">
        <v>4.0</v>
      </c>
      <c r="C9" s="12">
        <v>4.0</v>
      </c>
      <c r="D9" s="7">
        <f t="shared" si="1"/>
        <v>0</v>
      </c>
      <c r="E9" s="12">
        <v>0.11</v>
      </c>
      <c r="F9" s="9">
        <v>4.0</v>
      </c>
      <c r="G9" s="9">
        <v>4.0</v>
      </c>
      <c r="H9" s="7">
        <f t="shared" si="2"/>
        <v>0</v>
      </c>
      <c r="I9" s="9">
        <v>0.03</v>
      </c>
      <c r="J9" s="9">
        <v>4.0</v>
      </c>
      <c r="K9" s="9">
        <v>4.0</v>
      </c>
      <c r="L9" s="9">
        <v>0.08</v>
      </c>
      <c r="M9" s="13">
        <f t="shared" si="3"/>
        <v>4</v>
      </c>
      <c r="N9" s="13">
        <f t="shared" si="4"/>
        <v>4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0.11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0.03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0.08</v>
      </c>
    </row>
    <row r="10">
      <c r="A10" s="1" t="s">
        <v>15</v>
      </c>
      <c r="B10" s="12">
        <v>9.0</v>
      </c>
      <c r="C10" s="12">
        <v>9.0</v>
      </c>
      <c r="D10" s="7">
        <f t="shared" si="1"/>
        <v>0</v>
      </c>
      <c r="E10" s="12">
        <v>0.24</v>
      </c>
      <c r="F10" s="9">
        <v>9.0</v>
      </c>
      <c r="G10" s="9">
        <v>9.0</v>
      </c>
      <c r="H10" s="7">
        <f t="shared" si="2"/>
        <v>0</v>
      </c>
      <c r="I10" s="9">
        <v>0.04</v>
      </c>
      <c r="J10" s="9">
        <v>9.0</v>
      </c>
      <c r="K10" s="9">
        <v>9.0</v>
      </c>
      <c r="L10" s="9">
        <v>0.5</v>
      </c>
      <c r="M10" s="13">
        <f t="shared" si="3"/>
        <v>9</v>
      </c>
      <c r="N10" s="13">
        <f t="shared" si="4"/>
        <v>9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0.24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0.04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0.5</v>
      </c>
    </row>
    <row r="11">
      <c r="A11" s="1" t="s">
        <v>16</v>
      </c>
      <c r="B11" s="12">
        <v>11.0</v>
      </c>
      <c r="C11" s="12">
        <v>11.0</v>
      </c>
      <c r="D11" s="7">
        <f t="shared" si="1"/>
        <v>0</v>
      </c>
      <c r="E11" s="12">
        <v>0.53</v>
      </c>
      <c r="F11" s="9">
        <v>11.0</v>
      </c>
      <c r="G11" s="9">
        <v>11.0</v>
      </c>
      <c r="H11" s="7">
        <f t="shared" si="2"/>
        <v>0</v>
      </c>
      <c r="I11" s="9">
        <v>0.18</v>
      </c>
      <c r="J11" s="9">
        <v>11.0</v>
      </c>
      <c r="K11" s="9">
        <v>11.0</v>
      </c>
      <c r="L11" s="9">
        <v>0.58</v>
      </c>
      <c r="M11" s="13">
        <f t="shared" si="3"/>
        <v>11</v>
      </c>
      <c r="N11" s="13">
        <f t="shared" si="4"/>
        <v>11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0.53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0.18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0.58</v>
      </c>
    </row>
    <row r="12">
      <c r="A12" s="1" t="s">
        <v>17</v>
      </c>
      <c r="B12" s="12">
        <v>11.0</v>
      </c>
      <c r="C12" s="12">
        <v>11.0</v>
      </c>
      <c r="D12" s="7">
        <f t="shared" si="1"/>
        <v>0</v>
      </c>
      <c r="E12" s="12">
        <v>0.23</v>
      </c>
      <c r="F12" s="9">
        <v>11.0</v>
      </c>
      <c r="G12" s="9">
        <v>11.0</v>
      </c>
      <c r="H12" s="7">
        <f t="shared" si="2"/>
        <v>0</v>
      </c>
      <c r="I12" s="9">
        <v>0.1</v>
      </c>
      <c r="J12" s="9">
        <v>11.0</v>
      </c>
      <c r="K12" s="9">
        <v>11.0</v>
      </c>
      <c r="L12" s="9">
        <v>5.25</v>
      </c>
      <c r="M12" s="13">
        <f t="shared" si="3"/>
        <v>11</v>
      </c>
      <c r="N12" s="13">
        <f t="shared" si="4"/>
        <v>11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0.23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0.1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5.25</v>
      </c>
    </row>
    <row r="13">
      <c r="A13" s="1" t="s">
        <v>18</v>
      </c>
      <c r="B13" s="12">
        <v>6.0</v>
      </c>
      <c r="C13" s="12">
        <v>6.0</v>
      </c>
      <c r="D13" s="7">
        <f t="shared" si="1"/>
        <v>0</v>
      </c>
      <c r="E13" s="12">
        <v>0.19</v>
      </c>
      <c r="F13" s="9">
        <v>6.0</v>
      </c>
      <c r="G13" s="9">
        <v>6.0</v>
      </c>
      <c r="H13" s="7">
        <f t="shared" si="2"/>
        <v>0</v>
      </c>
      <c r="I13" s="9">
        <v>0.05</v>
      </c>
      <c r="J13" s="9">
        <v>6.0</v>
      </c>
      <c r="K13" s="9">
        <v>6.0</v>
      </c>
      <c r="L13" s="9">
        <v>0.1</v>
      </c>
      <c r="M13" s="13">
        <f t="shared" si="3"/>
        <v>6</v>
      </c>
      <c r="N13" s="13">
        <f t="shared" si="4"/>
        <v>6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0.19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0.05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0.1</v>
      </c>
    </row>
    <row r="14">
      <c r="A14" s="1" t="s">
        <v>19</v>
      </c>
      <c r="B14" s="12">
        <v>9.0</v>
      </c>
      <c r="C14" s="12">
        <v>9.0</v>
      </c>
      <c r="D14" s="7">
        <f t="shared" si="1"/>
        <v>0</v>
      </c>
      <c r="E14" s="12">
        <v>0.36</v>
      </c>
      <c r="F14" s="9">
        <v>9.0</v>
      </c>
      <c r="G14" s="9">
        <v>9.0</v>
      </c>
      <c r="H14" s="7">
        <f t="shared" si="2"/>
        <v>0</v>
      </c>
      <c r="I14" s="9">
        <v>0.07</v>
      </c>
      <c r="J14" s="9">
        <v>9.0</v>
      </c>
      <c r="K14" s="9">
        <v>9.0</v>
      </c>
      <c r="L14" s="9">
        <v>0.61</v>
      </c>
      <c r="M14" s="13">
        <f t="shared" si="3"/>
        <v>9</v>
      </c>
      <c r="N14" s="13">
        <f t="shared" si="4"/>
        <v>9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0.36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0.07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0.61</v>
      </c>
    </row>
    <row r="15">
      <c r="A15" s="1" t="s">
        <v>20</v>
      </c>
      <c r="B15" s="12">
        <v>14.0</v>
      </c>
      <c r="C15" s="12">
        <v>14.0</v>
      </c>
      <c r="D15" s="7">
        <f t="shared" si="1"/>
        <v>0</v>
      </c>
      <c r="E15" s="12">
        <v>0.33</v>
      </c>
      <c r="F15" s="9">
        <v>14.0</v>
      </c>
      <c r="G15" s="9">
        <v>14.0</v>
      </c>
      <c r="H15" s="7">
        <f t="shared" si="2"/>
        <v>0</v>
      </c>
      <c r="I15" s="9">
        <v>0.27</v>
      </c>
      <c r="J15" s="9">
        <v>14.0</v>
      </c>
      <c r="K15" s="9">
        <v>14.0</v>
      </c>
      <c r="L15" s="9">
        <v>0.73</v>
      </c>
      <c r="M15" s="13">
        <f t="shared" si="3"/>
        <v>14</v>
      </c>
      <c r="N15" s="13">
        <f t="shared" si="4"/>
        <v>14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0.33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0.27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0.73</v>
      </c>
    </row>
    <row r="16">
      <c r="A16" s="1" t="s">
        <v>21</v>
      </c>
      <c r="B16" s="12">
        <v>10.0</v>
      </c>
      <c r="C16" s="12">
        <v>10.0</v>
      </c>
      <c r="D16" s="7">
        <f t="shared" si="1"/>
        <v>0</v>
      </c>
      <c r="E16" s="12">
        <v>1.35</v>
      </c>
      <c r="F16" s="9">
        <v>10.0</v>
      </c>
      <c r="G16" s="9">
        <v>10.0</v>
      </c>
      <c r="H16" s="7">
        <f t="shared" si="2"/>
        <v>0</v>
      </c>
      <c r="I16" s="9">
        <v>0.3</v>
      </c>
      <c r="J16" s="9">
        <v>10.0</v>
      </c>
      <c r="K16" s="9">
        <v>10.0</v>
      </c>
      <c r="L16" s="9">
        <v>1.09</v>
      </c>
      <c r="M16" s="13">
        <f t="shared" si="3"/>
        <v>10</v>
      </c>
      <c r="N16" s="13">
        <f t="shared" si="4"/>
        <v>10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1.35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0.3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1.09</v>
      </c>
    </row>
    <row r="17">
      <c r="A17" s="1" t="s">
        <v>22</v>
      </c>
      <c r="B17" s="12">
        <v>10.0</v>
      </c>
      <c r="C17" s="12">
        <v>10.0</v>
      </c>
      <c r="D17" s="7">
        <f t="shared" si="1"/>
        <v>0</v>
      </c>
      <c r="E17" s="12">
        <v>2.52</v>
      </c>
      <c r="F17" s="9">
        <v>10.0</v>
      </c>
      <c r="G17" s="9">
        <v>10.0</v>
      </c>
      <c r="H17" s="7">
        <f t="shared" si="2"/>
        <v>0</v>
      </c>
      <c r="I17" s="9">
        <v>0.17</v>
      </c>
      <c r="J17" s="9">
        <v>10.0</v>
      </c>
      <c r="K17" s="9">
        <v>10.0</v>
      </c>
      <c r="L17" s="9">
        <v>0.27</v>
      </c>
      <c r="M17" s="13">
        <f t="shared" si="3"/>
        <v>10</v>
      </c>
      <c r="N17" s="13">
        <f t="shared" si="4"/>
        <v>10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2.52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0.17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0.27</v>
      </c>
    </row>
    <row r="18">
      <c r="A18" s="1" t="s">
        <v>23</v>
      </c>
      <c r="B18" s="12">
        <v>16.0</v>
      </c>
      <c r="C18" s="12">
        <v>16.0</v>
      </c>
      <c r="D18" s="7">
        <f t="shared" si="1"/>
        <v>0</v>
      </c>
      <c r="E18" s="12">
        <v>1.71</v>
      </c>
      <c r="F18" s="9">
        <v>16.0</v>
      </c>
      <c r="G18" s="9">
        <v>16.0</v>
      </c>
      <c r="H18" s="7">
        <f t="shared" si="2"/>
        <v>0</v>
      </c>
      <c r="I18" s="9">
        <v>0.77</v>
      </c>
      <c r="J18" s="9">
        <v>16.0</v>
      </c>
      <c r="K18" s="9">
        <v>16.0</v>
      </c>
      <c r="L18" s="9">
        <v>0.41</v>
      </c>
      <c r="M18" s="13">
        <f t="shared" si="3"/>
        <v>16</v>
      </c>
      <c r="N18" s="13">
        <f t="shared" si="4"/>
        <v>16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1.71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0.77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0.41</v>
      </c>
    </row>
    <row r="19">
      <c r="A19" s="1" t="s">
        <v>24</v>
      </c>
      <c r="B19" s="12">
        <v>13.0</v>
      </c>
      <c r="C19" s="12">
        <v>13.0</v>
      </c>
      <c r="D19" s="7">
        <f t="shared" si="1"/>
        <v>0</v>
      </c>
      <c r="E19" s="12">
        <v>0.3</v>
      </c>
      <c r="F19" s="9">
        <v>13.0</v>
      </c>
      <c r="G19" s="9">
        <v>13.0</v>
      </c>
      <c r="H19" s="7">
        <f t="shared" si="2"/>
        <v>0</v>
      </c>
      <c r="I19" s="9">
        <v>0.23</v>
      </c>
      <c r="J19" s="9">
        <v>13.0</v>
      </c>
      <c r="K19" s="9">
        <v>13.0</v>
      </c>
      <c r="L19" s="9">
        <v>0.78</v>
      </c>
      <c r="M19" s="13">
        <f t="shared" si="3"/>
        <v>13</v>
      </c>
      <c r="N19" s="13">
        <f t="shared" si="4"/>
        <v>13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0.3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0.23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0.78</v>
      </c>
    </row>
    <row r="20">
      <c r="A20" s="1" t="s">
        <v>25</v>
      </c>
      <c r="B20" s="12">
        <v>12.0</v>
      </c>
      <c r="C20" s="12">
        <v>12.0</v>
      </c>
      <c r="D20" s="7">
        <f t="shared" si="1"/>
        <v>0</v>
      </c>
      <c r="E20" s="12">
        <v>26.52</v>
      </c>
      <c r="F20" s="9">
        <v>12.0</v>
      </c>
      <c r="G20" s="9">
        <v>12.0</v>
      </c>
      <c r="H20" s="7">
        <f t="shared" si="2"/>
        <v>0</v>
      </c>
      <c r="I20" s="9">
        <v>0.33</v>
      </c>
      <c r="J20" s="9">
        <v>12.0</v>
      </c>
      <c r="K20" s="9">
        <v>12.0</v>
      </c>
      <c r="L20" s="9">
        <v>7.9</v>
      </c>
      <c r="M20" s="13">
        <f t="shared" si="3"/>
        <v>12</v>
      </c>
      <c r="N20" s="13">
        <f t="shared" si="4"/>
        <v>12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26.52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0.33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7.9</v>
      </c>
    </row>
    <row r="21">
      <c r="A21" s="1" t="s">
        <v>26</v>
      </c>
      <c r="B21" s="12">
        <v>11.0</v>
      </c>
      <c r="C21" s="12">
        <v>11.0</v>
      </c>
      <c r="D21" s="7">
        <f t="shared" si="1"/>
        <v>0</v>
      </c>
      <c r="E21" s="12">
        <v>0.94</v>
      </c>
      <c r="F21" s="9">
        <v>11.0</v>
      </c>
      <c r="G21" s="9">
        <v>11.0</v>
      </c>
      <c r="H21" s="7">
        <f t="shared" si="2"/>
        <v>0</v>
      </c>
      <c r="I21" s="9">
        <v>0.23</v>
      </c>
      <c r="J21" s="9">
        <v>11.0</v>
      </c>
      <c r="K21" s="9">
        <v>11.0</v>
      </c>
      <c r="L21" s="9">
        <v>0.66</v>
      </c>
      <c r="M21" s="13">
        <f t="shared" si="3"/>
        <v>11</v>
      </c>
      <c r="N21" s="13">
        <f t="shared" si="4"/>
        <v>11</v>
      </c>
      <c r="O21" s="7">
        <f t="shared" si="5"/>
        <v>0</v>
      </c>
      <c r="Q21" s="7">
        <f t="shared" si="6"/>
        <v>0</v>
      </c>
      <c r="R21" s="7">
        <f t="shared" si="7"/>
        <v>0</v>
      </c>
      <c r="S21" s="13" t="b">
        <f t="shared" si="8"/>
        <v>1</v>
      </c>
      <c r="T21" s="13">
        <f t="shared" si="9"/>
        <v>0.94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0.23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0.66</v>
      </c>
    </row>
    <row r="22">
      <c r="A22" s="1" t="s">
        <v>27</v>
      </c>
      <c r="B22" s="12">
        <v>10.0</v>
      </c>
      <c r="C22" s="12">
        <v>10.0</v>
      </c>
      <c r="D22" s="7">
        <f t="shared" si="1"/>
        <v>0</v>
      </c>
      <c r="E22" s="12">
        <v>2.09</v>
      </c>
      <c r="F22" s="9">
        <v>10.0</v>
      </c>
      <c r="G22" s="9">
        <v>10.0</v>
      </c>
      <c r="H22" s="7">
        <f t="shared" si="2"/>
        <v>0</v>
      </c>
      <c r="I22" s="9">
        <v>0.34</v>
      </c>
      <c r="J22" s="9">
        <v>10.0</v>
      </c>
      <c r="K22" s="9">
        <v>10.0</v>
      </c>
      <c r="L22" s="9">
        <v>1.01</v>
      </c>
      <c r="M22" s="13">
        <f t="shared" si="3"/>
        <v>10</v>
      </c>
      <c r="N22" s="13">
        <f t="shared" si="4"/>
        <v>10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2.09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0.34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1.01</v>
      </c>
    </row>
    <row r="23">
      <c r="A23" s="1" t="s">
        <v>28</v>
      </c>
      <c r="B23" s="12">
        <v>11.0</v>
      </c>
      <c r="C23" s="12">
        <v>11.0</v>
      </c>
      <c r="D23" s="7">
        <f t="shared" si="1"/>
        <v>0</v>
      </c>
      <c r="E23" s="12">
        <v>3.94</v>
      </c>
      <c r="F23" s="9">
        <v>11.0</v>
      </c>
      <c r="G23" s="9">
        <v>11.0</v>
      </c>
      <c r="H23" s="7">
        <f t="shared" si="2"/>
        <v>0</v>
      </c>
      <c r="I23" s="9">
        <v>1.14</v>
      </c>
      <c r="J23" s="9">
        <v>11.0</v>
      </c>
      <c r="K23" s="9">
        <v>11.0</v>
      </c>
      <c r="L23" s="9">
        <v>0.75</v>
      </c>
      <c r="M23" s="13">
        <f t="shared" si="3"/>
        <v>11</v>
      </c>
      <c r="N23" s="13">
        <f t="shared" si="4"/>
        <v>11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3.94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1.14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0.75</v>
      </c>
    </row>
    <row r="24">
      <c r="A24" s="1" t="s">
        <v>29</v>
      </c>
      <c r="B24" s="12">
        <v>11.0</v>
      </c>
      <c r="C24" s="12">
        <v>11.0</v>
      </c>
      <c r="D24" s="7">
        <f t="shared" si="1"/>
        <v>0</v>
      </c>
      <c r="E24" s="12">
        <v>6.26</v>
      </c>
      <c r="F24" s="9">
        <v>11.0</v>
      </c>
      <c r="G24" s="9">
        <v>11.0</v>
      </c>
      <c r="H24" s="7">
        <f t="shared" si="2"/>
        <v>0</v>
      </c>
      <c r="I24" s="9">
        <v>0.62</v>
      </c>
      <c r="J24" s="9">
        <v>11.0</v>
      </c>
      <c r="K24" s="9">
        <v>11.0</v>
      </c>
      <c r="L24" s="9">
        <v>0.24</v>
      </c>
      <c r="M24" s="13">
        <f t="shared" si="3"/>
        <v>11</v>
      </c>
      <c r="N24" s="13">
        <f t="shared" si="4"/>
        <v>11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6.26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0.62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0.24</v>
      </c>
    </row>
    <row r="25">
      <c r="A25" s="1" t="s">
        <v>30</v>
      </c>
      <c r="B25" s="12">
        <v>5.0</v>
      </c>
      <c r="C25" s="12">
        <v>5.0</v>
      </c>
      <c r="D25" s="7">
        <f t="shared" si="1"/>
        <v>0</v>
      </c>
      <c r="E25" s="12">
        <v>1.67</v>
      </c>
      <c r="F25" s="9">
        <v>5.0</v>
      </c>
      <c r="G25" s="9">
        <v>5.0</v>
      </c>
      <c r="H25" s="7">
        <f t="shared" si="2"/>
        <v>0</v>
      </c>
      <c r="I25" s="9">
        <v>0.13</v>
      </c>
      <c r="J25" s="9">
        <v>5.0</v>
      </c>
      <c r="K25" s="9">
        <v>5.0</v>
      </c>
      <c r="L25" s="9">
        <v>0.1</v>
      </c>
      <c r="M25" s="13">
        <f t="shared" si="3"/>
        <v>5</v>
      </c>
      <c r="N25" s="13">
        <f t="shared" si="4"/>
        <v>5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1.67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0.13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0.1</v>
      </c>
    </row>
    <row r="26">
      <c r="A26" s="1" t="s">
        <v>31</v>
      </c>
      <c r="B26" s="12">
        <v>14.0</v>
      </c>
      <c r="C26" s="12">
        <v>14.0</v>
      </c>
      <c r="D26" s="7">
        <f t="shared" si="1"/>
        <v>0</v>
      </c>
      <c r="E26" s="12">
        <v>1.04</v>
      </c>
      <c r="F26" s="9">
        <v>14.0</v>
      </c>
      <c r="G26" s="9">
        <v>14.0</v>
      </c>
      <c r="H26" s="7">
        <f t="shared" si="2"/>
        <v>0</v>
      </c>
      <c r="I26" s="9">
        <v>0.31</v>
      </c>
      <c r="J26" s="9">
        <v>14.0</v>
      </c>
      <c r="K26" s="9">
        <v>14.0</v>
      </c>
      <c r="L26" s="9">
        <v>3.28</v>
      </c>
      <c r="M26" s="13">
        <f t="shared" si="3"/>
        <v>14</v>
      </c>
      <c r="N26" s="13">
        <f t="shared" si="4"/>
        <v>14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1.04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0.31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3.28</v>
      </c>
    </row>
    <row r="27">
      <c r="A27" s="1" t="s">
        <v>32</v>
      </c>
      <c r="B27" s="12">
        <v>18.0</v>
      </c>
      <c r="C27" s="12">
        <v>18.0</v>
      </c>
      <c r="D27" s="7">
        <f t="shared" si="1"/>
        <v>0</v>
      </c>
      <c r="E27" s="12">
        <v>312.7</v>
      </c>
      <c r="F27" s="9">
        <v>18.0</v>
      </c>
      <c r="G27" s="9">
        <v>18.0</v>
      </c>
      <c r="H27" s="7">
        <f t="shared" si="2"/>
        <v>0</v>
      </c>
      <c r="I27" s="9">
        <v>2.02</v>
      </c>
      <c r="J27" s="9">
        <v>18.0</v>
      </c>
      <c r="K27" s="9">
        <v>18.0</v>
      </c>
      <c r="L27" s="9">
        <v>2.25</v>
      </c>
      <c r="M27" s="13">
        <f t="shared" si="3"/>
        <v>18</v>
      </c>
      <c r="N27" s="13">
        <f t="shared" si="4"/>
        <v>18</v>
      </c>
      <c r="O27" s="7">
        <f t="shared" si="5"/>
        <v>0</v>
      </c>
      <c r="Q27" s="7">
        <f t="shared" si="6"/>
        <v>0</v>
      </c>
      <c r="R27" s="7">
        <f t="shared" si="7"/>
        <v>0</v>
      </c>
      <c r="S27" s="13" t="b">
        <f t="shared" si="8"/>
        <v>1</v>
      </c>
      <c r="T27" s="13">
        <f t="shared" si="9"/>
        <v>312.7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2.02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2.25</v>
      </c>
    </row>
    <row r="28">
      <c r="A28" s="1" t="s">
        <v>33</v>
      </c>
      <c r="B28" s="12">
        <v>22.0</v>
      </c>
      <c r="C28" s="12">
        <v>22.0</v>
      </c>
      <c r="D28" s="7">
        <f t="shared" si="1"/>
        <v>0</v>
      </c>
      <c r="E28" s="12">
        <v>0.48</v>
      </c>
      <c r="F28" s="9">
        <v>22.0</v>
      </c>
      <c r="G28" s="9">
        <v>22.0</v>
      </c>
      <c r="H28" s="7">
        <f t="shared" si="2"/>
        <v>0</v>
      </c>
      <c r="I28" s="9">
        <v>0.75</v>
      </c>
      <c r="J28" s="9">
        <v>22.0</v>
      </c>
      <c r="K28" s="9">
        <v>22.0</v>
      </c>
      <c r="L28" s="9">
        <v>0.78</v>
      </c>
      <c r="M28" s="13">
        <f t="shared" si="3"/>
        <v>22</v>
      </c>
      <c r="N28" s="13">
        <f t="shared" si="4"/>
        <v>22</v>
      </c>
      <c r="O28" s="7">
        <f t="shared" si="5"/>
        <v>0</v>
      </c>
      <c r="Q28" s="7">
        <f t="shared" si="6"/>
        <v>0</v>
      </c>
      <c r="R28" s="7">
        <f t="shared" si="7"/>
        <v>0</v>
      </c>
      <c r="S28" s="13" t="b">
        <f t="shared" si="8"/>
        <v>1</v>
      </c>
      <c r="T28" s="13">
        <f t="shared" si="9"/>
        <v>0.48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0.75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0.78</v>
      </c>
    </row>
    <row r="29">
      <c r="A29" s="1" t="s">
        <v>34</v>
      </c>
      <c r="B29" s="12">
        <v>10.0</v>
      </c>
      <c r="C29" s="12">
        <v>10.0</v>
      </c>
      <c r="D29" s="7">
        <f t="shared" si="1"/>
        <v>0</v>
      </c>
      <c r="E29" s="12">
        <v>69.91</v>
      </c>
      <c r="F29" s="9">
        <v>10.0</v>
      </c>
      <c r="G29" s="9">
        <v>10.0</v>
      </c>
      <c r="H29" s="7">
        <f t="shared" si="2"/>
        <v>0</v>
      </c>
      <c r="I29" s="9">
        <v>1.95</v>
      </c>
      <c r="J29" s="9">
        <v>10.0</v>
      </c>
      <c r="K29" s="9">
        <v>10.0</v>
      </c>
      <c r="L29" s="9">
        <v>0.24</v>
      </c>
      <c r="M29" s="13">
        <f t="shared" si="3"/>
        <v>10</v>
      </c>
      <c r="N29" s="13">
        <f t="shared" si="4"/>
        <v>10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69.91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1.95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0.24</v>
      </c>
    </row>
    <row r="30">
      <c r="A30" s="1" t="s">
        <v>35</v>
      </c>
      <c r="B30" s="12">
        <v>17.0</v>
      </c>
      <c r="C30" s="12">
        <v>17.0</v>
      </c>
      <c r="D30" s="7">
        <f t="shared" si="1"/>
        <v>0</v>
      </c>
      <c r="E30" s="12">
        <v>0.52</v>
      </c>
      <c r="F30" s="9">
        <v>17.0</v>
      </c>
      <c r="G30" s="9">
        <v>17.0</v>
      </c>
      <c r="H30" s="7">
        <f t="shared" si="2"/>
        <v>0</v>
      </c>
      <c r="I30" s="9">
        <v>0.29</v>
      </c>
      <c r="J30" s="9">
        <v>17.0</v>
      </c>
      <c r="K30" s="9">
        <v>17.0</v>
      </c>
      <c r="L30" s="9">
        <v>1.72</v>
      </c>
      <c r="M30" s="13">
        <f t="shared" si="3"/>
        <v>17</v>
      </c>
      <c r="N30" s="13">
        <f t="shared" si="4"/>
        <v>17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0.52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0.29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1.72</v>
      </c>
    </row>
    <row r="31">
      <c r="A31" s="1" t="s">
        <v>36</v>
      </c>
      <c r="B31" s="12">
        <v>7.0</v>
      </c>
      <c r="C31" s="12">
        <v>7.0</v>
      </c>
      <c r="D31" s="7">
        <f t="shared" si="1"/>
        <v>0</v>
      </c>
      <c r="E31" s="12">
        <v>0.39</v>
      </c>
      <c r="F31" s="9">
        <v>7.0</v>
      </c>
      <c r="G31" s="9">
        <v>7.0</v>
      </c>
      <c r="H31" s="7">
        <f t="shared" si="2"/>
        <v>0</v>
      </c>
      <c r="I31" s="9">
        <v>0.1</v>
      </c>
      <c r="J31" s="9">
        <v>7.0</v>
      </c>
      <c r="K31" s="9">
        <v>7.0</v>
      </c>
      <c r="L31" s="9">
        <v>3.41</v>
      </c>
      <c r="M31" s="13">
        <f t="shared" si="3"/>
        <v>7</v>
      </c>
      <c r="N31" s="13">
        <f t="shared" si="4"/>
        <v>7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0.39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0.1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3.41</v>
      </c>
    </row>
    <row r="32">
      <c r="A32" s="1" t="s">
        <v>37</v>
      </c>
      <c r="B32" s="12">
        <v>21.0</v>
      </c>
      <c r="C32" s="12">
        <v>21.0</v>
      </c>
      <c r="D32" s="7">
        <f t="shared" si="1"/>
        <v>0</v>
      </c>
      <c r="E32" s="12">
        <v>1.49</v>
      </c>
      <c r="F32" s="9">
        <v>21.0</v>
      </c>
      <c r="G32" s="9">
        <v>21.0</v>
      </c>
      <c r="H32" s="7">
        <f t="shared" si="2"/>
        <v>0</v>
      </c>
      <c r="I32" s="9">
        <v>0.73</v>
      </c>
      <c r="J32" s="9">
        <v>21.0</v>
      </c>
      <c r="K32" s="9">
        <v>21.0</v>
      </c>
      <c r="L32" s="9">
        <v>0.53</v>
      </c>
      <c r="M32" s="13">
        <f t="shared" si="3"/>
        <v>21</v>
      </c>
      <c r="N32" s="13">
        <f t="shared" si="4"/>
        <v>21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1.49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0.73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0.53</v>
      </c>
      <c r="AD32" s="7">
        <f t="shared" ref="AD32:AE32" si="18">AVERAGE(Q3:Q32)</f>
        <v>0</v>
      </c>
      <c r="AE32" s="7">
        <f t="shared" si="18"/>
        <v>0</v>
      </c>
      <c r="AF32" s="13">
        <f>COUNTIF(S3:S32, "TRUE")</f>
        <v>30</v>
      </c>
      <c r="AG32" s="13">
        <f>COUNTIF(Q3:Q32,"=0")</f>
        <v>30</v>
      </c>
      <c r="AH32" s="13">
        <f t="shared" ref="AH32:AJ32" si="19">AVERAGE(T3:T32)</f>
        <v>14.57433333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0.3806666667</v>
      </c>
      <c r="AN32" s="7">
        <f t="shared" si="20"/>
        <v>0</v>
      </c>
      <c r="AO32" s="7">
        <f t="shared" si="20"/>
        <v>0</v>
      </c>
      <c r="AP32" s="13">
        <f>COUNTIF(AA3:AA32, "TRUE")</f>
        <v>30</v>
      </c>
      <c r="AQ32" s="13">
        <f>AVERAGE(AB3:AB32)</f>
        <v>1.47</v>
      </c>
    </row>
    <row r="33">
      <c r="A33" s="1" t="s">
        <v>38</v>
      </c>
      <c r="B33" s="12">
        <v>26.0</v>
      </c>
      <c r="C33" s="12">
        <v>27.0</v>
      </c>
      <c r="D33" s="7">
        <f t="shared" si="1"/>
        <v>0.03846153846</v>
      </c>
      <c r="E33" s="12">
        <v>3600.0</v>
      </c>
      <c r="F33" s="9">
        <v>26.0</v>
      </c>
      <c r="G33" s="9">
        <v>26.0</v>
      </c>
      <c r="H33" s="7">
        <f t="shared" si="2"/>
        <v>0</v>
      </c>
      <c r="I33" s="9">
        <v>48.81</v>
      </c>
      <c r="J33" s="9">
        <v>26.0</v>
      </c>
      <c r="K33" s="9">
        <v>26.0</v>
      </c>
      <c r="L33" s="9">
        <v>12.99</v>
      </c>
      <c r="M33" s="13">
        <f t="shared" si="3"/>
        <v>26</v>
      </c>
      <c r="N33" s="13">
        <f t="shared" si="4"/>
        <v>26</v>
      </c>
      <c r="O33" s="7">
        <f t="shared" si="5"/>
        <v>0</v>
      </c>
      <c r="Q33" s="7">
        <f t="shared" si="6"/>
        <v>0.03846153846</v>
      </c>
      <c r="R33" s="7">
        <f t="shared" si="7"/>
        <v>0</v>
      </c>
      <c r="S33" s="13" t="b">
        <f t="shared" si="8"/>
        <v>1</v>
      </c>
      <c r="T33" s="13">
        <f t="shared" si="9"/>
        <v>3600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48.81</v>
      </c>
      <c r="Y33" s="7">
        <f t="shared" si="14"/>
        <v>0</v>
      </c>
      <c r="Z33" s="7">
        <f t="shared" si="15"/>
        <v>0</v>
      </c>
      <c r="AA33" s="13" t="b">
        <f t="shared" si="16"/>
        <v>1</v>
      </c>
      <c r="AB33" s="13">
        <f t="shared" si="17"/>
        <v>12.99</v>
      </c>
    </row>
    <row r="34">
      <c r="A34" s="1" t="s">
        <v>39</v>
      </c>
      <c r="B34" s="12">
        <v>27.0</v>
      </c>
      <c r="C34" s="12">
        <v>28.0</v>
      </c>
      <c r="D34" s="7">
        <f t="shared" si="1"/>
        <v>0.03703703704</v>
      </c>
      <c r="E34" s="12">
        <v>3600.0</v>
      </c>
      <c r="F34" s="9">
        <v>27.0</v>
      </c>
      <c r="G34" s="9">
        <v>27.0</v>
      </c>
      <c r="H34" s="7">
        <f t="shared" si="2"/>
        <v>0</v>
      </c>
      <c r="I34" s="9">
        <v>246.0</v>
      </c>
      <c r="J34" s="9">
        <v>27.0</v>
      </c>
      <c r="K34" s="9">
        <v>27.0</v>
      </c>
      <c r="L34" s="9">
        <v>18.06</v>
      </c>
      <c r="M34" s="13">
        <f t="shared" si="3"/>
        <v>27</v>
      </c>
      <c r="N34" s="13">
        <f t="shared" si="4"/>
        <v>27</v>
      </c>
      <c r="O34" s="7">
        <f t="shared" si="5"/>
        <v>0</v>
      </c>
      <c r="Q34" s="7">
        <f t="shared" si="6"/>
        <v>0.03703703704</v>
      </c>
      <c r="R34" s="7">
        <f t="shared" si="7"/>
        <v>0</v>
      </c>
      <c r="S34" s="13" t="b">
        <f t="shared" si="8"/>
        <v>1</v>
      </c>
      <c r="T34" s="13">
        <f t="shared" si="9"/>
        <v>3600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246</v>
      </c>
      <c r="Y34" s="7">
        <f t="shared" si="14"/>
        <v>0</v>
      </c>
      <c r="Z34" s="7">
        <f t="shared" si="15"/>
        <v>0</v>
      </c>
      <c r="AA34" s="13" t="b">
        <f t="shared" si="16"/>
        <v>1</v>
      </c>
      <c r="AB34" s="13">
        <f t="shared" si="17"/>
        <v>18.06</v>
      </c>
    </row>
    <row r="35">
      <c r="A35" s="1" t="s">
        <v>40</v>
      </c>
      <c r="B35" s="12">
        <v>24.0</v>
      </c>
      <c r="C35" s="12">
        <v>29.0</v>
      </c>
      <c r="D35" s="7">
        <f t="shared" si="1"/>
        <v>0.2083333333</v>
      </c>
      <c r="E35" s="12">
        <v>3600.0</v>
      </c>
      <c r="F35" s="9">
        <v>25.0</v>
      </c>
      <c r="G35" s="9">
        <v>25.0</v>
      </c>
      <c r="H35" s="7">
        <f t="shared" si="2"/>
        <v>0</v>
      </c>
      <c r="I35" s="9">
        <v>212.56</v>
      </c>
      <c r="J35" s="9">
        <v>25.0</v>
      </c>
      <c r="K35" s="9">
        <v>25.0</v>
      </c>
      <c r="L35" s="9">
        <v>12.88</v>
      </c>
      <c r="M35" s="13">
        <f t="shared" si="3"/>
        <v>25</v>
      </c>
      <c r="N35" s="13">
        <f t="shared" si="4"/>
        <v>25</v>
      </c>
      <c r="O35" s="7">
        <f t="shared" si="5"/>
        <v>0</v>
      </c>
      <c r="Q35" s="7">
        <f t="shared" si="6"/>
        <v>0.2083333333</v>
      </c>
      <c r="R35" s="7">
        <f t="shared" si="7"/>
        <v>0.04166666667</v>
      </c>
      <c r="S35" s="13" t="b">
        <f t="shared" si="8"/>
        <v>0</v>
      </c>
      <c r="T35" s="13">
        <f t="shared" si="9"/>
        <v>3600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212.56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12.88</v>
      </c>
    </row>
    <row r="36">
      <c r="A36" s="1" t="s">
        <v>41</v>
      </c>
      <c r="B36" s="12">
        <v>48.0</v>
      </c>
      <c r="C36" s="12">
        <v>48.0</v>
      </c>
      <c r="D36" s="7">
        <f t="shared" si="1"/>
        <v>0</v>
      </c>
      <c r="E36" s="12">
        <v>388.57</v>
      </c>
      <c r="F36" s="9">
        <v>48.0</v>
      </c>
      <c r="G36" s="9">
        <v>48.0</v>
      </c>
      <c r="H36" s="7">
        <f t="shared" si="2"/>
        <v>0</v>
      </c>
      <c r="I36" s="9">
        <v>56.73</v>
      </c>
      <c r="J36" s="9">
        <v>48.0</v>
      </c>
      <c r="K36" s="9">
        <v>48.0</v>
      </c>
      <c r="L36" s="9">
        <v>10.18</v>
      </c>
      <c r="M36" s="13">
        <f t="shared" si="3"/>
        <v>48</v>
      </c>
      <c r="N36" s="13">
        <f t="shared" si="4"/>
        <v>48</v>
      </c>
      <c r="O36" s="7">
        <f t="shared" si="5"/>
        <v>0</v>
      </c>
      <c r="Q36" s="7">
        <f t="shared" si="6"/>
        <v>0</v>
      </c>
      <c r="R36" s="7">
        <f t="shared" si="7"/>
        <v>0</v>
      </c>
      <c r="S36" s="13" t="b">
        <f t="shared" si="8"/>
        <v>1</v>
      </c>
      <c r="T36" s="13">
        <f t="shared" si="9"/>
        <v>388.57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56.73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10.18</v>
      </c>
    </row>
    <row r="37">
      <c r="A37" s="1" t="s">
        <v>42</v>
      </c>
      <c r="B37" s="12">
        <v>30.0</v>
      </c>
      <c r="C37" s="12">
        <v>31.0</v>
      </c>
      <c r="D37" s="7">
        <f t="shared" si="1"/>
        <v>0.03333333333</v>
      </c>
      <c r="E37" s="12">
        <v>3600.0</v>
      </c>
      <c r="F37" s="9">
        <v>30.0</v>
      </c>
      <c r="G37" s="9">
        <v>31.0</v>
      </c>
      <c r="H37" s="7">
        <f t="shared" si="2"/>
        <v>0.03333333333</v>
      </c>
      <c r="I37" s="9">
        <v>3600.0</v>
      </c>
      <c r="J37" s="9">
        <v>30.0</v>
      </c>
      <c r="K37" s="9">
        <v>30.0</v>
      </c>
      <c r="L37" s="9">
        <v>45.3</v>
      </c>
      <c r="M37" s="13">
        <f t="shared" si="3"/>
        <v>30</v>
      </c>
      <c r="N37" s="13">
        <f t="shared" si="4"/>
        <v>31</v>
      </c>
      <c r="O37" s="7">
        <f t="shared" si="5"/>
        <v>0.03333333333</v>
      </c>
      <c r="Q37" s="7">
        <f t="shared" si="6"/>
        <v>0.03333333333</v>
      </c>
      <c r="R37" s="7">
        <f t="shared" si="7"/>
        <v>0</v>
      </c>
      <c r="S37" s="13" t="b">
        <f t="shared" si="8"/>
        <v>1</v>
      </c>
      <c r="T37" s="13">
        <f t="shared" si="9"/>
        <v>3600</v>
      </c>
      <c r="U37" s="7">
        <f t="shared" si="10"/>
        <v>0.03333333333</v>
      </c>
      <c r="V37" s="7">
        <f t="shared" si="11"/>
        <v>0</v>
      </c>
      <c r="W37" s="13" t="b">
        <f t="shared" si="12"/>
        <v>1</v>
      </c>
      <c r="X37" s="13">
        <f t="shared" si="13"/>
        <v>3600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45.3</v>
      </c>
    </row>
    <row r="38">
      <c r="A38" s="1" t="s">
        <v>43</v>
      </c>
      <c r="B38" s="12">
        <v>33.0</v>
      </c>
      <c r="C38" s="12">
        <v>36.0</v>
      </c>
      <c r="D38" s="7">
        <f t="shared" si="1"/>
        <v>0.09090909091</v>
      </c>
      <c r="E38" s="12">
        <v>3600.0</v>
      </c>
      <c r="F38" s="9">
        <v>33.0</v>
      </c>
      <c r="G38" s="9">
        <v>36.0</v>
      </c>
      <c r="H38" s="7">
        <f t="shared" si="2"/>
        <v>0.09090909091</v>
      </c>
      <c r="I38" s="9">
        <v>3600.0</v>
      </c>
      <c r="J38" s="9">
        <v>33.0</v>
      </c>
      <c r="K38" s="9">
        <v>33.0</v>
      </c>
      <c r="L38" s="9">
        <v>2.79</v>
      </c>
      <c r="M38" s="13">
        <f t="shared" si="3"/>
        <v>33</v>
      </c>
      <c r="N38" s="13">
        <f t="shared" si="4"/>
        <v>36</v>
      </c>
      <c r="O38" s="7">
        <f t="shared" si="5"/>
        <v>0.09090909091</v>
      </c>
      <c r="Q38" s="7">
        <f t="shared" si="6"/>
        <v>0.09090909091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0.09090909091</v>
      </c>
      <c r="V38" s="7">
        <f t="shared" si="11"/>
        <v>0</v>
      </c>
      <c r="W38" s="13" t="b">
        <f t="shared" si="12"/>
        <v>1</v>
      </c>
      <c r="X38" s="13">
        <f t="shared" si="13"/>
        <v>3600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2.79</v>
      </c>
    </row>
    <row r="39">
      <c r="A39" s="1" t="s">
        <v>44</v>
      </c>
      <c r="B39" s="12">
        <v>36.0</v>
      </c>
      <c r="C39" s="12">
        <v>40.0</v>
      </c>
      <c r="D39" s="7">
        <f t="shared" si="1"/>
        <v>0.1111111111</v>
      </c>
      <c r="E39" s="12">
        <v>3600.0</v>
      </c>
      <c r="F39" s="9">
        <v>36.0</v>
      </c>
      <c r="G39" s="9">
        <v>36.0</v>
      </c>
      <c r="H39" s="7">
        <f t="shared" si="2"/>
        <v>0</v>
      </c>
      <c r="I39" s="9">
        <v>313.54</v>
      </c>
      <c r="J39" s="9">
        <v>36.0</v>
      </c>
      <c r="K39" s="9">
        <v>35.9</v>
      </c>
      <c r="L39" s="9">
        <v>13.67</v>
      </c>
      <c r="M39" s="13">
        <f t="shared" si="3"/>
        <v>36</v>
      </c>
      <c r="N39" s="13">
        <f t="shared" si="4"/>
        <v>36</v>
      </c>
      <c r="O39" s="7">
        <f t="shared" si="5"/>
        <v>0</v>
      </c>
      <c r="Q39" s="7">
        <f t="shared" si="6"/>
        <v>0.1111111111</v>
      </c>
      <c r="R39" s="7">
        <f t="shared" si="7"/>
        <v>0</v>
      </c>
      <c r="S39" s="13" t="b">
        <f t="shared" si="8"/>
        <v>1</v>
      </c>
      <c r="T39" s="13">
        <f t="shared" si="9"/>
        <v>3600</v>
      </c>
      <c r="U39" s="7">
        <f t="shared" si="10"/>
        <v>0</v>
      </c>
      <c r="V39" s="7">
        <f t="shared" si="11"/>
        <v>0</v>
      </c>
      <c r="W39" s="13" t="b">
        <f t="shared" si="12"/>
        <v>1</v>
      </c>
      <c r="X39" s="13">
        <f t="shared" si="13"/>
        <v>313.54</v>
      </c>
      <c r="Y39" s="7">
        <f t="shared" si="14"/>
        <v>0</v>
      </c>
      <c r="Z39" s="7">
        <f t="shared" si="15"/>
        <v>0.00278551532</v>
      </c>
      <c r="AA39" s="13" t="b">
        <f t="shared" si="16"/>
        <v>1</v>
      </c>
      <c r="AB39" s="13">
        <f t="shared" si="17"/>
        <v>13.67</v>
      </c>
    </row>
    <row r="40">
      <c r="A40" s="1" t="s">
        <v>45</v>
      </c>
      <c r="B40" s="12">
        <v>59.0</v>
      </c>
      <c r="C40" s="12">
        <v>59.0</v>
      </c>
      <c r="D40" s="7">
        <f t="shared" si="1"/>
        <v>0</v>
      </c>
      <c r="E40" s="12">
        <v>67.65</v>
      </c>
      <c r="F40" s="9">
        <v>59.0</v>
      </c>
      <c r="G40" s="9">
        <v>59.0</v>
      </c>
      <c r="H40" s="7">
        <f t="shared" si="2"/>
        <v>0</v>
      </c>
      <c r="I40" s="9">
        <v>5.53</v>
      </c>
      <c r="J40" s="9">
        <v>59.0</v>
      </c>
      <c r="K40" s="9">
        <v>59.0</v>
      </c>
      <c r="L40" s="9">
        <v>5.87</v>
      </c>
      <c r="M40" s="13">
        <f t="shared" si="3"/>
        <v>59</v>
      </c>
      <c r="N40" s="13">
        <f t="shared" si="4"/>
        <v>59</v>
      </c>
      <c r="O40" s="7">
        <f t="shared" si="5"/>
        <v>0</v>
      </c>
      <c r="Q40" s="7">
        <f t="shared" si="6"/>
        <v>0</v>
      </c>
      <c r="R40" s="7">
        <f t="shared" si="7"/>
        <v>0</v>
      </c>
      <c r="S40" s="13" t="b">
        <f t="shared" si="8"/>
        <v>1</v>
      </c>
      <c r="T40" s="13">
        <f t="shared" si="9"/>
        <v>67.65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5.53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5.87</v>
      </c>
    </row>
    <row r="41">
      <c r="A41" s="1" t="s">
        <v>46</v>
      </c>
      <c r="B41" s="12">
        <v>27.0</v>
      </c>
      <c r="C41" s="12">
        <v>28.0</v>
      </c>
      <c r="D41" s="7">
        <f t="shared" si="1"/>
        <v>0.03703703704</v>
      </c>
      <c r="E41" s="12">
        <v>3600.0</v>
      </c>
      <c r="F41" s="9">
        <v>27.0</v>
      </c>
      <c r="G41" s="9">
        <v>27.0</v>
      </c>
      <c r="H41" s="7">
        <f t="shared" si="2"/>
        <v>0</v>
      </c>
      <c r="I41" s="9">
        <v>128.41</v>
      </c>
      <c r="J41" s="9">
        <v>27.0</v>
      </c>
      <c r="K41" s="9">
        <v>27.0</v>
      </c>
      <c r="L41" s="9">
        <v>14.25</v>
      </c>
      <c r="M41" s="13">
        <f t="shared" si="3"/>
        <v>27</v>
      </c>
      <c r="N41" s="13">
        <f t="shared" si="4"/>
        <v>27</v>
      </c>
      <c r="O41" s="7">
        <f t="shared" si="5"/>
        <v>0</v>
      </c>
      <c r="Q41" s="7">
        <f t="shared" si="6"/>
        <v>0.03703703704</v>
      </c>
      <c r="R41" s="7">
        <f t="shared" si="7"/>
        <v>0</v>
      </c>
      <c r="S41" s="13" t="b">
        <f t="shared" si="8"/>
        <v>1</v>
      </c>
      <c r="T41" s="13">
        <f t="shared" si="9"/>
        <v>3600</v>
      </c>
      <c r="U41" s="7">
        <f t="shared" si="10"/>
        <v>0</v>
      </c>
      <c r="V41" s="7">
        <f t="shared" si="11"/>
        <v>0</v>
      </c>
      <c r="W41" s="13" t="b">
        <f t="shared" si="12"/>
        <v>1</v>
      </c>
      <c r="X41" s="13">
        <f t="shared" si="13"/>
        <v>128.41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14.25</v>
      </c>
    </row>
    <row r="42">
      <c r="A42" s="1" t="s">
        <v>47</v>
      </c>
      <c r="B42" s="12">
        <v>53.0</v>
      </c>
      <c r="C42" s="12">
        <v>53.0</v>
      </c>
      <c r="D42" s="7">
        <f t="shared" si="1"/>
        <v>0</v>
      </c>
      <c r="E42" s="12">
        <v>568.29</v>
      </c>
      <c r="F42" s="9">
        <v>53.0</v>
      </c>
      <c r="G42" s="9">
        <v>53.0</v>
      </c>
      <c r="H42" s="7">
        <f t="shared" si="2"/>
        <v>0</v>
      </c>
      <c r="I42" s="9">
        <v>63.91</v>
      </c>
      <c r="J42" s="9">
        <v>53.0</v>
      </c>
      <c r="K42" s="9">
        <v>52.9</v>
      </c>
      <c r="L42" s="9">
        <v>27.24</v>
      </c>
      <c r="M42" s="13">
        <f t="shared" si="3"/>
        <v>53</v>
      </c>
      <c r="N42" s="13">
        <f t="shared" si="4"/>
        <v>53</v>
      </c>
      <c r="O42" s="7">
        <f t="shared" si="5"/>
        <v>0</v>
      </c>
      <c r="Q42" s="7">
        <f t="shared" si="6"/>
        <v>0</v>
      </c>
      <c r="R42" s="7">
        <f t="shared" si="7"/>
        <v>0</v>
      </c>
      <c r="S42" s="13" t="b">
        <f t="shared" si="8"/>
        <v>1</v>
      </c>
      <c r="T42" s="13">
        <f t="shared" si="9"/>
        <v>568.29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63.91</v>
      </c>
      <c r="Y42" s="7">
        <f t="shared" si="14"/>
        <v>0</v>
      </c>
      <c r="Z42" s="7">
        <f t="shared" si="15"/>
        <v>0.001890359168</v>
      </c>
      <c r="AA42" s="13" t="b">
        <f t="shared" si="16"/>
        <v>1</v>
      </c>
      <c r="AB42" s="13">
        <f t="shared" si="17"/>
        <v>27.24</v>
      </c>
    </row>
    <row r="43">
      <c r="A43" s="1" t="s">
        <v>48</v>
      </c>
      <c r="B43" s="12">
        <v>57.0</v>
      </c>
      <c r="C43" s="12">
        <v>58.0</v>
      </c>
      <c r="D43" s="7">
        <f t="shared" si="1"/>
        <v>0.01754385965</v>
      </c>
      <c r="E43" s="12">
        <v>3600.0</v>
      </c>
      <c r="F43" s="9">
        <v>57.0</v>
      </c>
      <c r="G43" s="9">
        <v>58.0</v>
      </c>
      <c r="H43" s="7">
        <f t="shared" si="2"/>
        <v>0.01754385965</v>
      </c>
      <c r="I43" s="9">
        <v>3600.0</v>
      </c>
      <c r="J43" s="9">
        <v>57.0</v>
      </c>
      <c r="K43" s="9">
        <v>57.0</v>
      </c>
      <c r="L43" s="9">
        <v>25.2</v>
      </c>
      <c r="M43" s="13">
        <f t="shared" si="3"/>
        <v>57</v>
      </c>
      <c r="N43" s="13">
        <f t="shared" si="4"/>
        <v>58</v>
      </c>
      <c r="O43" s="7">
        <f t="shared" si="5"/>
        <v>0.01754385965</v>
      </c>
      <c r="Q43" s="7">
        <f t="shared" si="6"/>
        <v>0.01754385965</v>
      </c>
      <c r="R43" s="7">
        <f t="shared" si="7"/>
        <v>0</v>
      </c>
      <c r="S43" s="13" t="b">
        <f t="shared" si="8"/>
        <v>1</v>
      </c>
      <c r="T43" s="13">
        <f t="shared" si="9"/>
        <v>3600</v>
      </c>
      <c r="U43" s="7">
        <f t="shared" si="10"/>
        <v>0.01754385965</v>
      </c>
      <c r="V43" s="7">
        <f t="shared" si="11"/>
        <v>0</v>
      </c>
      <c r="W43" s="13" t="b">
        <f t="shared" si="12"/>
        <v>1</v>
      </c>
      <c r="X43" s="13">
        <f t="shared" si="13"/>
        <v>3600</v>
      </c>
      <c r="Y43" s="7">
        <f t="shared" si="14"/>
        <v>0</v>
      </c>
      <c r="Z43" s="7">
        <f t="shared" si="15"/>
        <v>0</v>
      </c>
      <c r="AA43" s="13" t="b">
        <f t="shared" si="16"/>
        <v>1</v>
      </c>
      <c r="AB43" s="13">
        <f t="shared" si="17"/>
        <v>25.2</v>
      </c>
    </row>
    <row r="44">
      <c r="A44" s="1" t="s">
        <v>49</v>
      </c>
      <c r="B44" s="12">
        <v>56.0</v>
      </c>
      <c r="C44" s="12">
        <v>56.0</v>
      </c>
      <c r="D44" s="7">
        <f t="shared" si="1"/>
        <v>0</v>
      </c>
      <c r="E44" s="12">
        <v>646.69</v>
      </c>
      <c r="F44" s="9">
        <v>56.0</v>
      </c>
      <c r="G44" s="9">
        <v>56.0</v>
      </c>
      <c r="H44" s="7">
        <f t="shared" si="2"/>
        <v>0</v>
      </c>
      <c r="I44" s="9">
        <v>141.73</v>
      </c>
      <c r="J44" s="9">
        <v>56.0</v>
      </c>
      <c r="K44" s="9">
        <v>55.7</v>
      </c>
      <c r="L44" s="9">
        <v>30.83</v>
      </c>
      <c r="M44" s="13">
        <f t="shared" si="3"/>
        <v>56</v>
      </c>
      <c r="N44" s="13">
        <f t="shared" si="4"/>
        <v>56</v>
      </c>
      <c r="O44" s="7">
        <f t="shared" si="5"/>
        <v>0</v>
      </c>
      <c r="Q44" s="7">
        <f t="shared" si="6"/>
        <v>0</v>
      </c>
      <c r="R44" s="7">
        <f t="shared" si="7"/>
        <v>0</v>
      </c>
      <c r="S44" s="13" t="b">
        <f t="shared" si="8"/>
        <v>1</v>
      </c>
      <c r="T44" s="13">
        <f t="shared" si="9"/>
        <v>646.69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141.73</v>
      </c>
      <c r="Y44" s="7">
        <f t="shared" si="14"/>
        <v>0</v>
      </c>
      <c r="Z44" s="7">
        <f t="shared" si="15"/>
        <v>0.005385996409</v>
      </c>
      <c r="AA44" s="13" t="b">
        <f t="shared" si="16"/>
        <v>1</v>
      </c>
      <c r="AB44" s="13">
        <f t="shared" si="17"/>
        <v>30.83</v>
      </c>
    </row>
    <row r="45">
      <c r="A45" s="1" t="s">
        <v>50</v>
      </c>
      <c r="B45" s="12">
        <v>70.0</v>
      </c>
      <c r="C45" s="12">
        <v>70.0</v>
      </c>
      <c r="D45" s="7">
        <f t="shared" si="1"/>
        <v>0</v>
      </c>
      <c r="E45" s="12">
        <v>1629.39</v>
      </c>
      <c r="F45" s="9">
        <v>70.0</v>
      </c>
      <c r="G45" s="9">
        <v>70.0</v>
      </c>
      <c r="H45" s="7">
        <f t="shared" si="2"/>
        <v>0</v>
      </c>
      <c r="I45" s="9">
        <v>356.06</v>
      </c>
      <c r="J45" s="9">
        <v>70.0</v>
      </c>
      <c r="K45" s="9">
        <v>70.0</v>
      </c>
      <c r="L45" s="9">
        <v>36.82</v>
      </c>
      <c r="M45" s="13">
        <f t="shared" si="3"/>
        <v>70</v>
      </c>
      <c r="N45" s="13">
        <f t="shared" si="4"/>
        <v>70</v>
      </c>
      <c r="O45" s="7">
        <f t="shared" si="5"/>
        <v>0</v>
      </c>
      <c r="Q45" s="7">
        <f t="shared" si="6"/>
        <v>0</v>
      </c>
      <c r="R45" s="7">
        <f t="shared" si="7"/>
        <v>0</v>
      </c>
      <c r="S45" s="13" t="b">
        <f t="shared" si="8"/>
        <v>1</v>
      </c>
      <c r="T45" s="13">
        <f t="shared" si="9"/>
        <v>1629.39</v>
      </c>
      <c r="U45" s="7">
        <f t="shared" si="10"/>
        <v>0</v>
      </c>
      <c r="V45" s="7">
        <f t="shared" si="11"/>
        <v>0</v>
      </c>
      <c r="W45" s="13" t="b">
        <f t="shared" si="12"/>
        <v>1</v>
      </c>
      <c r="X45" s="13">
        <f t="shared" si="13"/>
        <v>356.06</v>
      </c>
      <c r="Y45" s="7">
        <f t="shared" si="14"/>
        <v>0</v>
      </c>
      <c r="Z45" s="7">
        <f t="shared" si="15"/>
        <v>0</v>
      </c>
      <c r="AA45" s="13" t="b">
        <f t="shared" si="16"/>
        <v>1</v>
      </c>
      <c r="AB45" s="13">
        <f t="shared" si="17"/>
        <v>36.82</v>
      </c>
    </row>
    <row r="46">
      <c r="A46" s="1" t="s">
        <v>51</v>
      </c>
      <c r="B46" s="12">
        <v>41.0</v>
      </c>
      <c r="C46" s="12">
        <v>60.0</v>
      </c>
      <c r="D46" s="7">
        <f t="shared" si="1"/>
        <v>0.4634146341</v>
      </c>
      <c r="E46" s="12">
        <v>3600.0</v>
      </c>
      <c r="F46" s="9">
        <v>41.0</v>
      </c>
      <c r="G46" s="9">
        <v>54.0</v>
      </c>
      <c r="H46" s="7">
        <f t="shared" si="2"/>
        <v>0.3170731707</v>
      </c>
      <c r="I46" s="9">
        <v>3600.0</v>
      </c>
      <c r="J46" s="9">
        <v>41.0</v>
      </c>
      <c r="K46" s="9">
        <v>41.0</v>
      </c>
      <c r="L46" s="9">
        <v>17.29</v>
      </c>
      <c r="M46" s="13">
        <f t="shared" si="3"/>
        <v>41</v>
      </c>
      <c r="N46" s="13">
        <f t="shared" si="4"/>
        <v>54</v>
      </c>
      <c r="O46" s="7">
        <f t="shared" si="5"/>
        <v>0.3170731707</v>
      </c>
      <c r="Q46" s="7">
        <f t="shared" si="6"/>
        <v>0.4634146341</v>
      </c>
      <c r="R46" s="7">
        <f t="shared" si="7"/>
        <v>0</v>
      </c>
      <c r="S46" s="13" t="b">
        <f t="shared" si="8"/>
        <v>1</v>
      </c>
      <c r="T46" s="13">
        <f t="shared" si="9"/>
        <v>3600</v>
      </c>
      <c r="U46" s="7">
        <f t="shared" si="10"/>
        <v>0.3170731707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17.29</v>
      </c>
    </row>
    <row r="47">
      <c r="A47" s="1" t="s">
        <v>52</v>
      </c>
      <c r="B47" s="12">
        <v>58.0</v>
      </c>
      <c r="C47" s="12">
        <v>60.0</v>
      </c>
      <c r="D47" s="7">
        <f t="shared" si="1"/>
        <v>0.03448275862</v>
      </c>
      <c r="E47" s="12">
        <v>3600.0</v>
      </c>
      <c r="F47" s="9">
        <v>59.0</v>
      </c>
      <c r="G47" s="9">
        <v>60.0</v>
      </c>
      <c r="H47" s="7">
        <f t="shared" si="2"/>
        <v>0.01694915254</v>
      </c>
      <c r="I47" s="9">
        <v>3600.0</v>
      </c>
      <c r="J47" s="9">
        <v>59.0</v>
      </c>
      <c r="K47" s="9">
        <v>59.0</v>
      </c>
      <c r="L47" s="9">
        <v>35.65</v>
      </c>
      <c r="M47" s="13">
        <f t="shared" si="3"/>
        <v>59</v>
      </c>
      <c r="N47" s="13">
        <f t="shared" si="4"/>
        <v>60</v>
      </c>
      <c r="O47" s="7">
        <f t="shared" si="5"/>
        <v>0.01694915254</v>
      </c>
      <c r="Q47" s="7">
        <f t="shared" si="6"/>
        <v>0.03448275862</v>
      </c>
      <c r="R47" s="7">
        <f t="shared" si="7"/>
        <v>0.01724137931</v>
      </c>
      <c r="S47" s="13" t="b">
        <f t="shared" si="8"/>
        <v>0</v>
      </c>
      <c r="T47" s="13">
        <f t="shared" si="9"/>
        <v>3600</v>
      </c>
      <c r="U47" s="7">
        <f t="shared" si="10"/>
        <v>0.01694915254</v>
      </c>
      <c r="V47" s="7">
        <f t="shared" si="11"/>
        <v>0</v>
      </c>
      <c r="W47" s="13" t="b">
        <f t="shared" si="12"/>
        <v>1</v>
      </c>
      <c r="X47" s="13">
        <f t="shared" si="13"/>
        <v>3600</v>
      </c>
      <c r="Y47" s="7">
        <f t="shared" si="14"/>
        <v>0</v>
      </c>
      <c r="Z47" s="7">
        <f t="shared" si="15"/>
        <v>0</v>
      </c>
      <c r="AA47" s="13" t="b">
        <f t="shared" si="16"/>
        <v>1</v>
      </c>
      <c r="AB47" s="13">
        <f t="shared" si="17"/>
        <v>35.65</v>
      </c>
    </row>
    <row r="48">
      <c r="A48" s="1" t="s">
        <v>53</v>
      </c>
      <c r="B48" s="12">
        <v>66.0</v>
      </c>
      <c r="C48" s="12">
        <v>76.0</v>
      </c>
      <c r="D48" s="7">
        <f t="shared" si="1"/>
        <v>0.1515151515</v>
      </c>
      <c r="E48" s="12">
        <v>3600.0</v>
      </c>
      <c r="F48" s="9">
        <v>65.0</v>
      </c>
      <c r="G48" s="9">
        <v>69.0</v>
      </c>
      <c r="H48" s="7">
        <f t="shared" si="2"/>
        <v>0.06153846154</v>
      </c>
      <c r="I48" s="9">
        <v>3600.0</v>
      </c>
      <c r="J48" s="9">
        <v>66.0</v>
      </c>
      <c r="K48" s="9">
        <v>66.0</v>
      </c>
      <c r="L48" s="9">
        <v>42.11</v>
      </c>
      <c r="M48" s="13">
        <f t="shared" si="3"/>
        <v>66</v>
      </c>
      <c r="N48" s="13">
        <f t="shared" si="4"/>
        <v>69</v>
      </c>
      <c r="O48" s="7">
        <f t="shared" si="5"/>
        <v>0.04545454545</v>
      </c>
      <c r="Q48" s="7">
        <f t="shared" si="6"/>
        <v>0.1515151515</v>
      </c>
      <c r="R48" s="7">
        <f t="shared" si="7"/>
        <v>0</v>
      </c>
      <c r="S48" s="13" t="b">
        <f t="shared" si="8"/>
        <v>1</v>
      </c>
      <c r="T48" s="13">
        <f t="shared" si="9"/>
        <v>3600</v>
      </c>
      <c r="U48" s="7">
        <f t="shared" si="10"/>
        <v>0.06153846154</v>
      </c>
      <c r="V48" s="7">
        <f t="shared" si="11"/>
        <v>0.01538461538</v>
      </c>
      <c r="W48" s="13" t="b">
        <f t="shared" si="12"/>
        <v>0</v>
      </c>
      <c r="X48" s="13">
        <f t="shared" si="13"/>
        <v>3600</v>
      </c>
      <c r="Y48" s="7">
        <f t="shared" si="14"/>
        <v>0</v>
      </c>
      <c r="Z48" s="7">
        <f t="shared" si="15"/>
        <v>0</v>
      </c>
      <c r="AA48" s="13" t="b">
        <f t="shared" si="16"/>
        <v>1</v>
      </c>
      <c r="AB48" s="13">
        <f t="shared" si="17"/>
        <v>42.11</v>
      </c>
    </row>
    <row r="49">
      <c r="A49" s="1" t="s">
        <v>54</v>
      </c>
      <c r="B49" s="12">
        <v>61.0</v>
      </c>
      <c r="C49" s="12">
        <v>81.0</v>
      </c>
      <c r="D49" s="7">
        <f t="shared" si="1"/>
        <v>0.3278688525</v>
      </c>
      <c r="E49" s="12">
        <v>3600.0</v>
      </c>
      <c r="F49" s="9">
        <v>63.0</v>
      </c>
      <c r="G49" s="9">
        <v>71.0</v>
      </c>
      <c r="H49" s="7">
        <f t="shared" si="2"/>
        <v>0.126984127</v>
      </c>
      <c r="I49" s="9">
        <v>3600.0</v>
      </c>
      <c r="J49" s="9">
        <v>63.0</v>
      </c>
      <c r="K49" s="9">
        <v>63.0</v>
      </c>
      <c r="L49" s="9">
        <v>62.49</v>
      </c>
      <c r="M49" s="13">
        <f t="shared" si="3"/>
        <v>63</v>
      </c>
      <c r="N49" s="13">
        <f t="shared" si="4"/>
        <v>71</v>
      </c>
      <c r="O49" s="7">
        <f t="shared" si="5"/>
        <v>0.126984127</v>
      </c>
      <c r="Q49" s="7">
        <f t="shared" si="6"/>
        <v>0.3278688525</v>
      </c>
      <c r="R49" s="7">
        <f t="shared" si="7"/>
        <v>0.03278688525</v>
      </c>
      <c r="S49" s="13" t="b">
        <f t="shared" si="8"/>
        <v>0</v>
      </c>
      <c r="T49" s="13">
        <f t="shared" si="9"/>
        <v>3600</v>
      </c>
      <c r="U49" s="7">
        <f t="shared" si="10"/>
        <v>0.126984127</v>
      </c>
      <c r="V49" s="7">
        <f t="shared" si="11"/>
        <v>0</v>
      </c>
      <c r="W49" s="13" t="b">
        <f t="shared" si="12"/>
        <v>1</v>
      </c>
      <c r="X49" s="13">
        <f t="shared" si="13"/>
        <v>3600</v>
      </c>
      <c r="Y49" s="7">
        <f t="shared" si="14"/>
        <v>0</v>
      </c>
      <c r="Z49" s="7">
        <f t="shared" si="15"/>
        <v>0</v>
      </c>
      <c r="AA49" s="13" t="b">
        <f t="shared" si="16"/>
        <v>1</v>
      </c>
      <c r="AB49" s="13">
        <f t="shared" si="17"/>
        <v>62.49</v>
      </c>
    </row>
    <row r="50">
      <c r="A50" s="1" t="s">
        <v>55</v>
      </c>
      <c r="B50" s="12">
        <v>53.0</v>
      </c>
      <c r="C50" s="12">
        <v>70.0</v>
      </c>
      <c r="D50" s="7">
        <f t="shared" si="1"/>
        <v>0.320754717</v>
      </c>
      <c r="E50" s="12">
        <v>3600.0</v>
      </c>
      <c r="F50" s="9">
        <v>54.0</v>
      </c>
      <c r="G50" s="9">
        <v>64.0</v>
      </c>
      <c r="H50" s="7">
        <f t="shared" si="2"/>
        <v>0.1851851852</v>
      </c>
      <c r="I50" s="9">
        <v>3600.0</v>
      </c>
      <c r="J50" s="9">
        <v>54.0</v>
      </c>
      <c r="K50" s="9">
        <v>54.0</v>
      </c>
      <c r="L50" s="9">
        <v>69.02</v>
      </c>
      <c r="M50" s="13">
        <f t="shared" si="3"/>
        <v>54</v>
      </c>
      <c r="N50" s="13">
        <f t="shared" si="4"/>
        <v>64</v>
      </c>
      <c r="O50" s="7">
        <f t="shared" si="5"/>
        <v>0.1851851852</v>
      </c>
      <c r="Q50" s="7">
        <f t="shared" si="6"/>
        <v>0.320754717</v>
      </c>
      <c r="R50" s="7">
        <f t="shared" si="7"/>
        <v>0.01886792453</v>
      </c>
      <c r="S50" s="13" t="b">
        <f t="shared" si="8"/>
        <v>0</v>
      </c>
      <c r="T50" s="13">
        <f t="shared" si="9"/>
        <v>3600</v>
      </c>
      <c r="U50" s="7">
        <f t="shared" si="10"/>
        <v>0.1851851852</v>
      </c>
      <c r="V50" s="7">
        <f t="shared" si="11"/>
        <v>0</v>
      </c>
      <c r="W50" s="13" t="b">
        <f t="shared" si="12"/>
        <v>1</v>
      </c>
      <c r="X50" s="13">
        <f t="shared" si="13"/>
        <v>3600</v>
      </c>
      <c r="Y50" s="7">
        <f t="shared" si="14"/>
        <v>0</v>
      </c>
      <c r="Z50" s="7">
        <f t="shared" si="15"/>
        <v>0</v>
      </c>
      <c r="AA50" s="13" t="b">
        <f t="shared" si="16"/>
        <v>1</v>
      </c>
      <c r="AB50" s="13">
        <f t="shared" si="17"/>
        <v>69.02</v>
      </c>
    </row>
    <row r="51">
      <c r="A51" s="1" t="s">
        <v>56</v>
      </c>
      <c r="B51" s="12">
        <v>66.0</v>
      </c>
      <c r="C51" s="12">
        <v>71.0</v>
      </c>
      <c r="D51" s="7">
        <f t="shared" si="1"/>
        <v>0.07575757576</v>
      </c>
      <c r="E51" s="12">
        <v>3600.0</v>
      </c>
      <c r="F51" s="9">
        <v>70.0</v>
      </c>
      <c r="G51" s="9">
        <v>70.0</v>
      </c>
      <c r="H51" s="7">
        <f t="shared" si="2"/>
        <v>0</v>
      </c>
      <c r="I51" s="9">
        <v>439.79</v>
      </c>
      <c r="J51" s="9">
        <v>70.0</v>
      </c>
      <c r="K51" s="9">
        <v>69.4</v>
      </c>
      <c r="L51" s="9">
        <v>45.51</v>
      </c>
      <c r="M51" s="13">
        <f t="shared" si="3"/>
        <v>70</v>
      </c>
      <c r="N51" s="13">
        <f t="shared" si="4"/>
        <v>70</v>
      </c>
      <c r="O51" s="7">
        <f t="shared" si="5"/>
        <v>0</v>
      </c>
      <c r="Q51" s="7">
        <f t="shared" si="6"/>
        <v>0.07575757576</v>
      </c>
      <c r="R51" s="7">
        <f t="shared" si="7"/>
        <v>0.06060606061</v>
      </c>
      <c r="S51" s="13" t="b">
        <f t="shared" si="8"/>
        <v>0</v>
      </c>
      <c r="T51" s="13">
        <f t="shared" si="9"/>
        <v>3600</v>
      </c>
      <c r="U51" s="7">
        <f t="shared" si="10"/>
        <v>0</v>
      </c>
      <c r="V51" s="7">
        <f t="shared" si="11"/>
        <v>0</v>
      </c>
      <c r="W51" s="13" t="b">
        <f t="shared" si="12"/>
        <v>1</v>
      </c>
      <c r="X51" s="13">
        <f t="shared" si="13"/>
        <v>439.79</v>
      </c>
      <c r="Y51" s="7">
        <f t="shared" si="14"/>
        <v>0</v>
      </c>
      <c r="Z51" s="7">
        <f t="shared" si="15"/>
        <v>0.008645533141</v>
      </c>
      <c r="AA51" s="13" t="b">
        <f t="shared" si="16"/>
        <v>1</v>
      </c>
      <c r="AB51" s="13">
        <f t="shared" si="17"/>
        <v>45.51</v>
      </c>
    </row>
    <row r="52">
      <c r="A52" s="1" t="s">
        <v>57</v>
      </c>
      <c r="B52" s="12">
        <v>94.0</v>
      </c>
      <c r="C52" s="12">
        <v>103.0</v>
      </c>
      <c r="D52" s="7">
        <f t="shared" si="1"/>
        <v>0.09574468085</v>
      </c>
      <c r="E52" s="12">
        <v>3600.0</v>
      </c>
      <c r="F52" s="9">
        <v>95.0</v>
      </c>
      <c r="G52" s="9">
        <v>95.0</v>
      </c>
      <c r="H52" s="7">
        <f t="shared" si="2"/>
        <v>0</v>
      </c>
      <c r="I52" s="9">
        <v>3409.37</v>
      </c>
      <c r="J52" s="9">
        <v>95.0</v>
      </c>
      <c r="K52" s="9">
        <v>95.0</v>
      </c>
      <c r="L52" s="9">
        <v>54.4</v>
      </c>
      <c r="M52" s="13">
        <f t="shared" si="3"/>
        <v>95</v>
      </c>
      <c r="N52" s="13">
        <f t="shared" si="4"/>
        <v>95</v>
      </c>
      <c r="O52" s="7">
        <f t="shared" si="5"/>
        <v>0</v>
      </c>
      <c r="Q52" s="7">
        <f t="shared" si="6"/>
        <v>0.09574468085</v>
      </c>
      <c r="R52" s="7">
        <f t="shared" si="7"/>
        <v>0.01063829787</v>
      </c>
      <c r="S52" s="13" t="b">
        <f t="shared" si="8"/>
        <v>0</v>
      </c>
      <c r="T52" s="13">
        <f t="shared" si="9"/>
        <v>3600</v>
      </c>
      <c r="U52" s="7">
        <f t="shared" si="10"/>
        <v>0</v>
      </c>
      <c r="V52" s="7">
        <f t="shared" si="11"/>
        <v>0</v>
      </c>
      <c r="W52" s="13" t="b">
        <f t="shared" si="12"/>
        <v>1</v>
      </c>
      <c r="X52" s="13">
        <f t="shared" si="13"/>
        <v>3409.37</v>
      </c>
      <c r="Y52" s="7">
        <f t="shared" si="14"/>
        <v>0</v>
      </c>
      <c r="Z52" s="7">
        <f t="shared" si="15"/>
        <v>0</v>
      </c>
      <c r="AA52" s="13" t="b">
        <f t="shared" si="16"/>
        <v>1</v>
      </c>
      <c r="AB52" s="13">
        <f t="shared" si="17"/>
        <v>54.4</v>
      </c>
    </row>
    <row r="53">
      <c r="A53" s="1" t="s">
        <v>58</v>
      </c>
      <c r="B53" s="12">
        <v>69.0</v>
      </c>
      <c r="C53" s="12">
        <v>134.0</v>
      </c>
      <c r="D53" s="7">
        <f t="shared" si="1"/>
        <v>0.9420289855</v>
      </c>
      <c r="E53" s="12">
        <v>3600.0</v>
      </c>
      <c r="F53" s="9">
        <v>69.0</v>
      </c>
      <c r="G53" s="9">
        <v>124.0</v>
      </c>
      <c r="H53" s="7">
        <f t="shared" si="2"/>
        <v>0.7971014493</v>
      </c>
      <c r="I53" s="9">
        <v>3600.0</v>
      </c>
      <c r="J53" s="9">
        <v>69.0</v>
      </c>
      <c r="K53" s="9">
        <v>69.0</v>
      </c>
      <c r="L53" s="9">
        <v>18.91</v>
      </c>
      <c r="M53" s="13">
        <f t="shared" si="3"/>
        <v>69</v>
      </c>
      <c r="N53" s="13">
        <f t="shared" si="4"/>
        <v>124</v>
      </c>
      <c r="O53" s="7">
        <f t="shared" si="5"/>
        <v>0.7971014493</v>
      </c>
      <c r="Q53" s="7">
        <f t="shared" si="6"/>
        <v>0.9420289855</v>
      </c>
      <c r="R53" s="7">
        <f t="shared" si="7"/>
        <v>0</v>
      </c>
      <c r="S53" s="13" t="b">
        <f t="shared" si="8"/>
        <v>1</v>
      </c>
      <c r="T53" s="13">
        <f t="shared" si="9"/>
        <v>3600</v>
      </c>
      <c r="U53" s="7">
        <f t="shared" si="10"/>
        <v>0.7971014493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18.91</v>
      </c>
    </row>
    <row r="54">
      <c r="A54" s="1" t="s">
        <v>59</v>
      </c>
      <c r="B54" s="12">
        <v>85.0</v>
      </c>
      <c r="C54" s="12">
        <v>92.0</v>
      </c>
      <c r="D54" s="7">
        <f t="shared" si="1"/>
        <v>0.08235294118</v>
      </c>
      <c r="E54" s="12">
        <v>3600.0</v>
      </c>
      <c r="F54" s="9">
        <v>88.0</v>
      </c>
      <c r="G54" s="9">
        <v>88.0</v>
      </c>
      <c r="H54" s="7">
        <f t="shared" si="2"/>
        <v>0</v>
      </c>
      <c r="I54" s="9">
        <v>776.38</v>
      </c>
      <c r="J54" s="9">
        <v>88.0</v>
      </c>
      <c r="K54" s="9">
        <v>87.0</v>
      </c>
      <c r="L54" s="9">
        <v>59.84</v>
      </c>
      <c r="M54" s="13">
        <f t="shared" si="3"/>
        <v>88</v>
      </c>
      <c r="N54" s="13">
        <f t="shared" si="4"/>
        <v>88</v>
      </c>
      <c r="O54" s="7">
        <f t="shared" si="5"/>
        <v>0</v>
      </c>
      <c r="Q54" s="7">
        <f t="shared" si="6"/>
        <v>0.08235294118</v>
      </c>
      <c r="R54" s="7">
        <f t="shared" si="7"/>
        <v>0.03529411765</v>
      </c>
      <c r="S54" s="13" t="b">
        <f t="shared" si="8"/>
        <v>0</v>
      </c>
      <c r="T54" s="13">
        <f t="shared" si="9"/>
        <v>3600</v>
      </c>
      <c r="U54" s="7">
        <f t="shared" si="10"/>
        <v>0</v>
      </c>
      <c r="V54" s="7">
        <f t="shared" si="11"/>
        <v>0</v>
      </c>
      <c r="W54" s="13" t="b">
        <f t="shared" si="12"/>
        <v>1</v>
      </c>
      <c r="X54" s="13">
        <f t="shared" si="13"/>
        <v>776.38</v>
      </c>
      <c r="Y54" s="7">
        <f t="shared" si="14"/>
        <v>0</v>
      </c>
      <c r="Z54" s="7">
        <f t="shared" si="15"/>
        <v>0.01149425287</v>
      </c>
      <c r="AA54" s="13" t="b">
        <f t="shared" si="16"/>
        <v>1</v>
      </c>
      <c r="AB54" s="13">
        <f t="shared" si="17"/>
        <v>59.84</v>
      </c>
    </row>
    <row r="55">
      <c r="A55" s="1" t="s">
        <v>60</v>
      </c>
      <c r="B55" s="12">
        <v>74.0</v>
      </c>
      <c r="C55" s="12">
        <v>95.0</v>
      </c>
      <c r="D55" s="7">
        <f t="shared" si="1"/>
        <v>0.2837837838</v>
      </c>
      <c r="E55" s="12">
        <v>3600.0</v>
      </c>
      <c r="F55" s="9">
        <v>85.0</v>
      </c>
      <c r="G55" s="9">
        <v>89.0</v>
      </c>
      <c r="H55" s="7">
        <f t="shared" si="2"/>
        <v>0.04705882353</v>
      </c>
      <c r="I55" s="9">
        <v>3600.0</v>
      </c>
      <c r="J55" s="9">
        <v>86.0</v>
      </c>
      <c r="K55" s="9">
        <v>85.2</v>
      </c>
      <c r="L55" s="9">
        <v>96.58</v>
      </c>
      <c r="M55" s="13">
        <f t="shared" si="3"/>
        <v>86</v>
      </c>
      <c r="N55" s="13">
        <f t="shared" si="4"/>
        <v>89</v>
      </c>
      <c r="O55" s="7">
        <f t="shared" si="5"/>
        <v>0.03488372093</v>
      </c>
      <c r="Q55" s="7">
        <f t="shared" si="6"/>
        <v>0.2837837838</v>
      </c>
      <c r="R55" s="7">
        <f t="shared" si="7"/>
        <v>0.1621621622</v>
      </c>
      <c r="S55" s="13" t="b">
        <f t="shared" si="8"/>
        <v>0</v>
      </c>
      <c r="T55" s="13">
        <f t="shared" si="9"/>
        <v>3600</v>
      </c>
      <c r="U55" s="7">
        <f t="shared" si="10"/>
        <v>0.04705882353</v>
      </c>
      <c r="V55" s="7">
        <f t="shared" si="11"/>
        <v>0.01176470588</v>
      </c>
      <c r="W55" s="13" t="b">
        <f t="shared" si="12"/>
        <v>0</v>
      </c>
      <c r="X55" s="13">
        <f t="shared" si="13"/>
        <v>3600</v>
      </c>
      <c r="Y55" s="7">
        <f t="shared" si="14"/>
        <v>0</v>
      </c>
      <c r="Z55" s="7">
        <f t="shared" si="15"/>
        <v>0.009389671362</v>
      </c>
      <c r="AA55" s="13" t="b">
        <f t="shared" si="16"/>
        <v>1</v>
      </c>
      <c r="AB55" s="13">
        <f t="shared" si="17"/>
        <v>96.58</v>
      </c>
    </row>
    <row r="56">
      <c r="A56" s="1" t="s">
        <v>61</v>
      </c>
      <c r="B56" s="12">
        <v>87.0</v>
      </c>
      <c r="C56" s="12">
        <v>115.0</v>
      </c>
      <c r="D56" s="7">
        <f t="shared" si="1"/>
        <v>0.3218390805</v>
      </c>
      <c r="E56" s="12">
        <v>3600.0</v>
      </c>
      <c r="F56" s="9">
        <v>89.0</v>
      </c>
      <c r="G56" s="9">
        <v>105.0</v>
      </c>
      <c r="H56" s="7">
        <f t="shared" si="2"/>
        <v>0.1797752809</v>
      </c>
      <c r="I56" s="9">
        <v>3600.0</v>
      </c>
      <c r="J56" s="9">
        <v>90.0</v>
      </c>
      <c r="K56" s="9">
        <v>89.6</v>
      </c>
      <c r="L56" s="9">
        <v>52.28</v>
      </c>
      <c r="M56" s="13">
        <f t="shared" si="3"/>
        <v>90</v>
      </c>
      <c r="N56" s="13">
        <f t="shared" si="4"/>
        <v>105</v>
      </c>
      <c r="O56" s="7">
        <f t="shared" si="5"/>
        <v>0.1666666667</v>
      </c>
      <c r="Q56" s="7">
        <f t="shared" si="6"/>
        <v>0.3218390805</v>
      </c>
      <c r="R56" s="7">
        <f t="shared" si="7"/>
        <v>0.03448275862</v>
      </c>
      <c r="S56" s="13" t="b">
        <f t="shared" si="8"/>
        <v>0</v>
      </c>
      <c r="T56" s="13">
        <f t="shared" si="9"/>
        <v>3600</v>
      </c>
      <c r="U56" s="7">
        <f t="shared" si="10"/>
        <v>0.1797752809</v>
      </c>
      <c r="V56" s="7">
        <f t="shared" si="11"/>
        <v>0.01123595506</v>
      </c>
      <c r="W56" s="13" t="b">
        <f t="shared" si="12"/>
        <v>0</v>
      </c>
      <c r="X56" s="13">
        <f t="shared" si="13"/>
        <v>3600</v>
      </c>
      <c r="Y56" s="7">
        <f t="shared" si="14"/>
        <v>0</v>
      </c>
      <c r="Z56" s="7">
        <f t="shared" si="15"/>
        <v>0.004464285714</v>
      </c>
      <c r="AA56" s="13" t="b">
        <f t="shared" si="16"/>
        <v>1</v>
      </c>
      <c r="AB56" s="13">
        <f t="shared" si="17"/>
        <v>52.28</v>
      </c>
    </row>
    <row r="57">
      <c r="A57" s="1" t="s">
        <v>62</v>
      </c>
      <c r="B57" s="12">
        <v>85.0</v>
      </c>
      <c r="C57" s="12">
        <v>104.0</v>
      </c>
      <c r="D57" s="7">
        <f t="shared" si="1"/>
        <v>0.2235294118</v>
      </c>
      <c r="E57" s="12">
        <v>3600.0</v>
      </c>
      <c r="F57" s="9">
        <v>102.0</v>
      </c>
      <c r="G57" s="9">
        <v>102.0</v>
      </c>
      <c r="H57" s="7">
        <f t="shared" si="2"/>
        <v>0</v>
      </c>
      <c r="I57" s="9">
        <v>497.52</v>
      </c>
      <c r="J57" s="9">
        <v>102.0</v>
      </c>
      <c r="K57" s="9">
        <v>101.1</v>
      </c>
      <c r="L57" s="9">
        <v>75.24</v>
      </c>
      <c r="M57" s="13">
        <f t="shared" si="3"/>
        <v>102</v>
      </c>
      <c r="N57" s="13">
        <f t="shared" si="4"/>
        <v>102</v>
      </c>
      <c r="O57" s="7">
        <f t="shared" si="5"/>
        <v>0</v>
      </c>
      <c r="Q57" s="7">
        <f t="shared" si="6"/>
        <v>0.2235294118</v>
      </c>
      <c r="R57" s="7">
        <f t="shared" si="7"/>
        <v>0.2</v>
      </c>
      <c r="S57" s="13" t="b">
        <f t="shared" si="8"/>
        <v>0</v>
      </c>
      <c r="T57" s="13">
        <f t="shared" si="9"/>
        <v>3600</v>
      </c>
      <c r="U57" s="7">
        <f t="shared" si="10"/>
        <v>0</v>
      </c>
      <c r="V57" s="7">
        <f t="shared" si="11"/>
        <v>0</v>
      </c>
      <c r="W57" s="13" t="b">
        <f t="shared" si="12"/>
        <v>1</v>
      </c>
      <c r="X57" s="13">
        <f t="shared" si="13"/>
        <v>497.52</v>
      </c>
      <c r="Y57" s="7">
        <f t="shared" si="14"/>
        <v>0</v>
      </c>
      <c r="Z57" s="7">
        <f t="shared" si="15"/>
        <v>0.008902077151</v>
      </c>
      <c r="AA57" s="13" t="b">
        <f t="shared" si="16"/>
        <v>1</v>
      </c>
      <c r="AB57" s="13">
        <f t="shared" si="17"/>
        <v>75.24</v>
      </c>
    </row>
    <row r="58">
      <c r="A58" s="1" t="s">
        <v>63</v>
      </c>
      <c r="B58" s="12">
        <v>86.0</v>
      </c>
      <c r="C58" s="12">
        <v>100.0</v>
      </c>
      <c r="D58" s="7">
        <f t="shared" si="1"/>
        <v>0.1627906977</v>
      </c>
      <c r="E58" s="12">
        <v>3600.0</v>
      </c>
      <c r="F58" s="9">
        <v>90.0</v>
      </c>
      <c r="G58" s="9">
        <v>96.0</v>
      </c>
      <c r="H58" s="7">
        <f t="shared" si="2"/>
        <v>0.06666666667</v>
      </c>
      <c r="I58" s="9">
        <v>3600.0</v>
      </c>
      <c r="J58" s="9">
        <v>90.0</v>
      </c>
      <c r="K58" s="9">
        <v>88.5</v>
      </c>
      <c r="L58" s="9">
        <v>102.31</v>
      </c>
      <c r="M58" s="13">
        <f t="shared" si="3"/>
        <v>90</v>
      </c>
      <c r="N58" s="13">
        <f t="shared" si="4"/>
        <v>96</v>
      </c>
      <c r="O58" s="7">
        <f t="shared" si="5"/>
        <v>0.06666666667</v>
      </c>
      <c r="Q58" s="7">
        <f t="shared" si="6"/>
        <v>0.1627906977</v>
      </c>
      <c r="R58" s="7">
        <f t="shared" si="7"/>
        <v>0.04651162791</v>
      </c>
      <c r="S58" s="13" t="b">
        <f t="shared" si="8"/>
        <v>0</v>
      </c>
      <c r="T58" s="13">
        <f t="shared" si="9"/>
        <v>3600</v>
      </c>
      <c r="U58" s="7">
        <f t="shared" si="10"/>
        <v>0.06666666667</v>
      </c>
      <c r="V58" s="7">
        <f t="shared" si="11"/>
        <v>0</v>
      </c>
      <c r="W58" s="13" t="b">
        <f t="shared" si="12"/>
        <v>1</v>
      </c>
      <c r="X58" s="13">
        <f t="shared" si="13"/>
        <v>3600</v>
      </c>
      <c r="Y58" s="7">
        <f t="shared" si="14"/>
        <v>0</v>
      </c>
      <c r="Z58" s="7">
        <f t="shared" si="15"/>
        <v>0.01694915254</v>
      </c>
      <c r="AA58" s="13" t="b">
        <f t="shared" si="16"/>
        <v>1</v>
      </c>
      <c r="AB58" s="13">
        <f t="shared" si="17"/>
        <v>102.31</v>
      </c>
    </row>
    <row r="59">
      <c r="A59" s="1" t="s">
        <v>64</v>
      </c>
      <c r="B59" s="12">
        <v>80.0</v>
      </c>
      <c r="C59" s="12">
        <v>90.0</v>
      </c>
      <c r="D59" s="7">
        <f t="shared" si="1"/>
        <v>0.125</v>
      </c>
      <c r="E59" s="12">
        <v>3600.0</v>
      </c>
      <c r="F59" s="9">
        <v>80.0</v>
      </c>
      <c r="G59" s="9">
        <v>82.0</v>
      </c>
      <c r="H59" s="7">
        <f t="shared" si="2"/>
        <v>0.025</v>
      </c>
      <c r="I59" s="9">
        <v>3600.0</v>
      </c>
      <c r="J59" s="9">
        <v>80.0</v>
      </c>
      <c r="K59" s="9">
        <v>80.0</v>
      </c>
      <c r="L59" s="9">
        <v>23.8</v>
      </c>
      <c r="M59" s="13">
        <f t="shared" si="3"/>
        <v>80</v>
      </c>
      <c r="N59" s="13">
        <f t="shared" si="4"/>
        <v>82</v>
      </c>
      <c r="O59" s="7">
        <f t="shared" si="5"/>
        <v>0.025</v>
      </c>
      <c r="Q59" s="7">
        <f t="shared" si="6"/>
        <v>0.125</v>
      </c>
      <c r="R59" s="7">
        <f t="shared" si="7"/>
        <v>0</v>
      </c>
      <c r="S59" s="13" t="b">
        <f t="shared" si="8"/>
        <v>1</v>
      </c>
      <c r="T59" s="13">
        <f t="shared" si="9"/>
        <v>3600</v>
      </c>
      <c r="U59" s="7">
        <f t="shared" si="10"/>
        <v>0.025</v>
      </c>
      <c r="V59" s="7">
        <f t="shared" si="11"/>
        <v>0</v>
      </c>
      <c r="W59" s="13" t="b">
        <f t="shared" si="12"/>
        <v>1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23.8</v>
      </c>
    </row>
    <row r="60">
      <c r="A60" s="1" t="s">
        <v>65</v>
      </c>
      <c r="B60" s="12">
        <v>80.0</v>
      </c>
      <c r="C60" s="12">
        <v>126.0</v>
      </c>
      <c r="D60" s="7">
        <f t="shared" si="1"/>
        <v>0.575</v>
      </c>
      <c r="E60" s="12">
        <v>3600.0</v>
      </c>
      <c r="F60" s="9">
        <v>98.0</v>
      </c>
      <c r="G60" s="9">
        <v>110.0</v>
      </c>
      <c r="H60" s="7">
        <f t="shared" si="2"/>
        <v>0.1224489796</v>
      </c>
      <c r="I60" s="9">
        <v>3600.0</v>
      </c>
      <c r="J60" s="9">
        <v>98.0</v>
      </c>
      <c r="K60" s="9">
        <v>97.9</v>
      </c>
      <c r="L60" s="9">
        <v>86.73</v>
      </c>
      <c r="M60" s="13">
        <f t="shared" si="3"/>
        <v>98</v>
      </c>
      <c r="N60" s="13">
        <f t="shared" si="4"/>
        <v>110</v>
      </c>
      <c r="O60" s="7">
        <f t="shared" si="5"/>
        <v>0.1224489796</v>
      </c>
      <c r="Q60" s="7">
        <f t="shared" si="6"/>
        <v>0.575</v>
      </c>
      <c r="R60" s="7">
        <f t="shared" si="7"/>
        <v>0.225</v>
      </c>
      <c r="S60" s="13" t="b">
        <f t="shared" si="8"/>
        <v>0</v>
      </c>
      <c r="T60" s="13">
        <f t="shared" si="9"/>
        <v>3600</v>
      </c>
      <c r="U60" s="7">
        <f t="shared" si="10"/>
        <v>0.1224489796</v>
      </c>
      <c r="V60" s="7">
        <f t="shared" si="11"/>
        <v>0</v>
      </c>
      <c r="W60" s="13" t="b">
        <f t="shared" si="12"/>
        <v>1</v>
      </c>
      <c r="X60" s="13">
        <f t="shared" si="13"/>
        <v>3600</v>
      </c>
      <c r="Y60" s="7">
        <f t="shared" si="14"/>
        <v>0</v>
      </c>
      <c r="Z60" s="7">
        <f t="shared" si="15"/>
        <v>0.00102145046</v>
      </c>
      <c r="AA60" s="13" t="b">
        <f t="shared" si="16"/>
        <v>1</v>
      </c>
      <c r="AB60" s="13">
        <f t="shared" si="17"/>
        <v>86.73</v>
      </c>
    </row>
    <row r="61">
      <c r="A61" s="1" t="s">
        <v>66</v>
      </c>
      <c r="B61" s="12">
        <v>108.0</v>
      </c>
      <c r="C61" s="12">
        <v>191.0</v>
      </c>
      <c r="D61" s="7">
        <f t="shared" si="1"/>
        <v>0.7685185185</v>
      </c>
      <c r="E61" s="12">
        <v>3600.0</v>
      </c>
      <c r="F61" s="9">
        <v>108.0</v>
      </c>
      <c r="G61" s="9">
        <v>143.0</v>
      </c>
      <c r="H61" s="7">
        <f t="shared" si="2"/>
        <v>0.3240740741</v>
      </c>
      <c r="I61" s="9">
        <v>3600.0</v>
      </c>
      <c r="J61" s="9">
        <v>108.0</v>
      </c>
      <c r="K61" s="9">
        <v>108.0</v>
      </c>
      <c r="L61" s="9">
        <v>52.93</v>
      </c>
      <c r="M61" s="13">
        <f t="shared" si="3"/>
        <v>108</v>
      </c>
      <c r="N61" s="13">
        <f t="shared" si="4"/>
        <v>143</v>
      </c>
      <c r="O61" s="7">
        <f t="shared" si="5"/>
        <v>0.3240740741</v>
      </c>
      <c r="Q61" s="7">
        <f t="shared" si="6"/>
        <v>0.7685185185</v>
      </c>
      <c r="R61" s="7">
        <f t="shared" si="7"/>
        <v>0</v>
      </c>
      <c r="S61" s="13" t="b">
        <f t="shared" si="8"/>
        <v>1</v>
      </c>
      <c r="T61" s="13">
        <f t="shared" si="9"/>
        <v>3600</v>
      </c>
      <c r="U61" s="7">
        <f t="shared" si="10"/>
        <v>0.3240740741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</v>
      </c>
      <c r="AA61" s="13" t="b">
        <f t="shared" si="16"/>
        <v>1</v>
      </c>
      <c r="AB61" s="13">
        <f t="shared" si="17"/>
        <v>52.93</v>
      </c>
    </row>
    <row r="62">
      <c r="A62" s="1" t="s">
        <v>67</v>
      </c>
      <c r="B62" s="12">
        <v>88.0</v>
      </c>
      <c r="C62" s="12">
        <v>110.0</v>
      </c>
      <c r="D62" s="7">
        <f t="shared" si="1"/>
        <v>0.25</v>
      </c>
      <c r="E62" s="12">
        <v>3600.0</v>
      </c>
      <c r="F62" s="9">
        <v>98.0</v>
      </c>
      <c r="G62" s="9">
        <v>106.0</v>
      </c>
      <c r="H62" s="7">
        <f t="shared" si="2"/>
        <v>0.08163265306</v>
      </c>
      <c r="I62" s="9">
        <v>3600.0</v>
      </c>
      <c r="J62" s="9">
        <v>102.0</v>
      </c>
      <c r="K62" s="9">
        <v>101.0</v>
      </c>
      <c r="L62" s="9">
        <v>121.78</v>
      </c>
      <c r="M62" s="13">
        <f t="shared" si="3"/>
        <v>102</v>
      </c>
      <c r="N62" s="13">
        <f t="shared" si="4"/>
        <v>106</v>
      </c>
      <c r="O62" s="7">
        <f t="shared" si="5"/>
        <v>0.03921568627</v>
      </c>
      <c r="Q62" s="7">
        <f t="shared" si="6"/>
        <v>0.25</v>
      </c>
      <c r="R62" s="7">
        <f t="shared" si="7"/>
        <v>0.1590909091</v>
      </c>
      <c r="S62" s="13" t="b">
        <f t="shared" si="8"/>
        <v>0</v>
      </c>
      <c r="T62" s="13">
        <f t="shared" si="9"/>
        <v>3600</v>
      </c>
      <c r="U62" s="7">
        <f t="shared" si="10"/>
        <v>0.08163265306</v>
      </c>
      <c r="V62" s="7">
        <f t="shared" si="11"/>
        <v>0.04081632653</v>
      </c>
      <c r="W62" s="13" t="b">
        <f t="shared" si="12"/>
        <v>0</v>
      </c>
      <c r="X62" s="13">
        <f t="shared" si="13"/>
        <v>3600</v>
      </c>
      <c r="Y62" s="7">
        <f t="shared" si="14"/>
        <v>0</v>
      </c>
      <c r="Z62" s="7">
        <f t="shared" si="15"/>
        <v>0.009900990099</v>
      </c>
      <c r="AA62" s="13" t="b">
        <f t="shared" si="16"/>
        <v>1</v>
      </c>
      <c r="AB62" s="13">
        <f t="shared" si="17"/>
        <v>121.78</v>
      </c>
      <c r="AD62" s="7">
        <f t="shared" ref="AD62:AE62" si="21">AVERAGE(Q33:Q62)</f>
        <v>0.1926049377</v>
      </c>
      <c r="AE62" s="7">
        <f t="shared" si="21"/>
        <v>0.03481162632</v>
      </c>
      <c r="AF62" s="13">
        <f>COUNTIF(S33:S62, "TRUE")</f>
        <v>17</v>
      </c>
      <c r="AG62" s="13">
        <f>COUNTIF(Q33:Q62,"=0")</f>
        <v>5</v>
      </c>
      <c r="AH62" s="13">
        <f t="shared" ref="AH62:AJ62" si="22">AVERAGE(T33:T62)</f>
        <v>3110.019667</v>
      </c>
      <c r="AI62" s="7">
        <f t="shared" si="22"/>
        <v>0.0831091436</v>
      </c>
      <c r="AJ62" s="7">
        <f t="shared" si="22"/>
        <v>0.002640053428</v>
      </c>
      <c r="AK62" s="13">
        <f>COUNTIF(W33:W62, "TRUE")</f>
        <v>26</v>
      </c>
      <c r="AL62" s="13">
        <f>COUNTIF(U33:U62,"=0")</f>
        <v>14</v>
      </c>
      <c r="AM62" s="13">
        <f t="shared" ref="AM62:AO62" si="23">AVERAGE(X33:X62)</f>
        <v>2143.211333</v>
      </c>
      <c r="AN62" s="7">
        <f t="shared" si="23"/>
        <v>0</v>
      </c>
      <c r="AO62" s="7">
        <f t="shared" si="23"/>
        <v>0.002694309475</v>
      </c>
      <c r="AP62" s="13">
        <f>COUNTIF(AA33:AA62, "TRUE")</f>
        <v>30</v>
      </c>
      <c r="AQ62" s="13">
        <f>AVERAGE(AB33:AB62)</f>
        <v>42.43166667</v>
      </c>
    </row>
    <row r="63">
      <c r="D63" s="7"/>
      <c r="H63" s="7"/>
      <c r="I63" s="7"/>
      <c r="Z63" s="7"/>
    </row>
    <row r="64">
      <c r="D64" s="7"/>
      <c r="H64" s="7"/>
      <c r="I64" s="7"/>
      <c r="Z64" s="7"/>
    </row>
    <row r="65">
      <c r="D65" s="7"/>
      <c r="H65" s="7"/>
      <c r="I65" s="7"/>
      <c r="Z65" s="7"/>
    </row>
    <row r="66">
      <c r="D66" s="7"/>
      <c r="H66" s="7"/>
      <c r="I66" s="7"/>
      <c r="Z66" s="7"/>
    </row>
    <row r="67">
      <c r="D67" s="7"/>
      <c r="H67" s="7"/>
      <c r="I67" s="7"/>
      <c r="Z67" s="7"/>
    </row>
    <row r="68">
      <c r="D68" s="7"/>
      <c r="H68" s="7"/>
      <c r="I68" s="7"/>
      <c r="Z68" s="7"/>
    </row>
    <row r="69">
      <c r="D69" s="7"/>
      <c r="H69" s="7"/>
      <c r="I69" s="7"/>
      <c r="Z69" s="7"/>
    </row>
    <row r="70">
      <c r="D70" s="7"/>
      <c r="H70" s="7"/>
      <c r="I70" s="7"/>
      <c r="Z70" s="7"/>
    </row>
    <row r="71">
      <c r="D71" s="7"/>
      <c r="H71" s="7"/>
      <c r="I71" s="7"/>
      <c r="Z71" s="7"/>
    </row>
    <row r="72">
      <c r="D72" s="7"/>
      <c r="H72" s="7"/>
      <c r="I72" s="7"/>
      <c r="Z72" s="7"/>
    </row>
    <row r="73">
      <c r="D73" s="7"/>
      <c r="H73" s="7"/>
      <c r="I73" s="7"/>
      <c r="Z73" s="7"/>
    </row>
    <row r="74">
      <c r="D74" s="7"/>
      <c r="H74" s="7"/>
      <c r="I74" s="7"/>
      <c r="Z74" s="7"/>
    </row>
    <row r="75">
      <c r="D75" s="7"/>
      <c r="H75" s="7"/>
      <c r="I75" s="7"/>
      <c r="Z75" s="7"/>
    </row>
    <row r="76">
      <c r="D76" s="7"/>
      <c r="H76" s="7"/>
      <c r="I76" s="7"/>
      <c r="Z76" s="7"/>
    </row>
    <row r="77">
      <c r="D77" s="7"/>
      <c r="H77" s="7"/>
      <c r="I77" s="7"/>
      <c r="Z77" s="7"/>
    </row>
    <row r="78">
      <c r="D78" s="7"/>
      <c r="H78" s="7"/>
      <c r="I78" s="7"/>
      <c r="Z78" s="7"/>
    </row>
    <row r="79">
      <c r="D79" s="7"/>
      <c r="H79" s="7"/>
      <c r="I79" s="7"/>
      <c r="Z79" s="7"/>
    </row>
    <row r="80">
      <c r="D80" s="7"/>
      <c r="H80" s="7"/>
      <c r="I80" s="7"/>
      <c r="Z80" s="7"/>
    </row>
    <row r="81">
      <c r="D81" s="7"/>
      <c r="H81" s="7"/>
      <c r="I81" s="7"/>
      <c r="Z81" s="7"/>
    </row>
    <row r="82">
      <c r="D82" s="7"/>
      <c r="H82" s="7"/>
      <c r="I82" s="7"/>
      <c r="Z82" s="7"/>
    </row>
    <row r="83">
      <c r="D83" s="7"/>
      <c r="H83" s="7"/>
      <c r="I83" s="7"/>
      <c r="Z83" s="7"/>
    </row>
    <row r="84">
      <c r="D84" s="7"/>
      <c r="H84" s="7"/>
      <c r="I84" s="7"/>
      <c r="Z84" s="7"/>
    </row>
    <row r="85">
      <c r="D85" s="7"/>
      <c r="H85" s="7"/>
      <c r="I85" s="7"/>
      <c r="Z85" s="7"/>
    </row>
    <row r="86">
      <c r="D86" s="7"/>
      <c r="H86" s="7"/>
      <c r="I86" s="7"/>
      <c r="Z86" s="7"/>
    </row>
    <row r="87">
      <c r="D87" s="7"/>
      <c r="H87" s="7"/>
      <c r="I87" s="7"/>
      <c r="Z87" s="7"/>
    </row>
    <row r="88">
      <c r="D88" s="7"/>
      <c r="H88" s="7"/>
      <c r="I88" s="7"/>
      <c r="Z88" s="7"/>
    </row>
    <row r="89">
      <c r="D89" s="7"/>
      <c r="H89" s="7"/>
      <c r="I89" s="7"/>
      <c r="Z89" s="7"/>
    </row>
    <row r="90">
      <c r="D90" s="7"/>
      <c r="H90" s="7"/>
      <c r="I90" s="7"/>
      <c r="Z90" s="7"/>
    </row>
    <row r="91">
      <c r="D91" s="7"/>
      <c r="H91" s="7"/>
      <c r="I91" s="7"/>
      <c r="Z91" s="7"/>
    </row>
    <row r="92">
      <c r="D92" s="7"/>
      <c r="H92" s="7"/>
      <c r="I92" s="7"/>
      <c r="Z92" s="7"/>
    </row>
    <row r="93">
      <c r="D93" s="7"/>
      <c r="H93" s="7"/>
      <c r="I93" s="7"/>
      <c r="Z93" s="7"/>
    </row>
    <row r="94">
      <c r="D94" s="7"/>
      <c r="H94" s="7"/>
      <c r="I94" s="7"/>
      <c r="Z94" s="7"/>
    </row>
    <row r="95">
      <c r="D95" s="7"/>
      <c r="H95" s="7"/>
      <c r="I95" s="7"/>
      <c r="Z95" s="7"/>
    </row>
    <row r="96">
      <c r="D96" s="7"/>
      <c r="H96" s="7"/>
      <c r="I96" s="7"/>
      <c r="Z96" s="7"/>
    </row>
    <row r="97">
      <c r="D97" s="7"/>
      <c r="H97" s="7"/>
      <c r="I97" s="7"/>
      <c r="Z97" s="7"/>
    </row>
    <row r="98">
      <c r="D98" s="7"/>
      <c r="H98" s="7"/>
      <c r="I98" s="7"/>
      <c r="Z98" s="7"/>
    </row>
    <row r="99">
      <c r="D99" s="7"/>
      <c r="H99" s="7"/>
      <c r="I99" s="7"/>
      <c r="Z99" s="7"/>
    </row>
    <row r="100">
      <c r="D100" s="7"/>
      <c r="H100" s="7"/>
      <c r="I100" s="7"/>
      <c r="Z100" s="7"/>
    </row>
    <row r="101">
      <c r="D101" s="7"/>
      <c r="H101" s="7"/>
      <c r="I101" s="7"/>
      <c r="Z101" s="7"/>
    </row>
    <row r="102">
      <c r="D102" s="7"/>
      <c r="H102" s="7"/>
      <c r="I102" s="7"/>
      <c r="Z102" s="7"/>
    </row>
    <row r="103">
      <c r="D103" s="7"/>
      <c r="H103" s="7"/>
      <c r="I103" s="7"/>
      <c r="Z103" s="7"/>
    </row>
    <row r="104">
      <c r="D104" s="7"/>
      <c r="H104" s="7"/>
      <c r="I104" s="7"/>
      <c r="Z104" s="7"/>
    </row>
    <row r="105">
      <c r="D105" s="7"/>
      <c r="H105" s="7"/>
      <c r="I105" s="7"/>
      <c r="Z105" s="7"/>
    </row>
    <row r="106">
      <c r="D106" s="7"/>
      <c r="H106" s="7"/>
      <c r="I106" s="7"/>
      <c r="Z106" s="7"/>
    </row>
    <row r="107">
      <c r="D107" s="7"/>
      <c r="H107" s="7"/>
      <c r="I107" s="7"/>
      <c r="Z107" s="7"/>
    </row>
    <row r="108">
      <c r="D108" s="7"/>
      <c r="H108" s="7"/>
      <c r="I108" s="7"/>
      <c r="Z108" s="7"/>
    </row>
    <row r="109">
      <c r="D109" s="7"/>
      <c r="H109" s="7"/>
      <c r="I109" s="7"/>
      <c r="Z109" s="7"/>
    </row>
    <row r="110">
      <c r="D110" s="7"/>
      <c r="H110" s="7"/>
      <c r="I110" s="7"/>
      <c r="Z110" s="7"/>
    </row>
    <row r="111">
      <c r="D111" s="7"/>
      <c r="H111" s="7"/>
      <c r="I111" s="7"/>
      <c r="Z111" s="7"/>
    </row>
    <row r="112">
      <c r="D112" s="7"/>
      <c r="H112" s="7"/>
      <c r="I112" s="7"/>
      <c r="Z112" s="7"/>
    </row>
    <row r="113">
      <c r="D113" s="7"/>
      <c r="H113" s="7"/>
      <c r="I113" s="7"/>
      <c r="Z113" s="7"/>
    </row>
    <row r="114">
      <c r="D114" s="7"/>
      <c r="H114" s="7"/>
      <c r="I114" s="7"/>
      <c r="Z114" s="7"/>
    </row>
    <row r="115">
      <c r="D115" s="7"/>
      <c r="H115" s="7"/>
      <c r="I115" s="7"/>
      <c r="Z115" s="7"/>
    </row>
    <row r="116">
      <c r="D116" s="7"/>
      <c r="H116" s="7"/>
      <c r="I116" s="7"/>
      <c r="Z116" s="7"/>
    </row>
    <row r="117">
      <c r="D117" s="7"/>
      <c r="H117" s="7"/>
      <c r="I117" s="7"/>
      <c r="Z117" s="7"/>
    </row>
    <row r="118">
      <c r="D118" s="7"/>
      <c r="H118" s="7"/>
      <c r="I118" s="7"/>
      <c r="Z118" s="7"/>
    </row>
    <row r="119">
      <c r="D119" s="7"/>
      <c r="H119" s="7"/>
      <c r="I119" s="7"/>
      <c r="Z119" s="7"/>
    </row>
    <row r="120">
      <c r="D120" s="7"/>
      <c r="H120" s="7"/>
      <c r="I120" s="7"/>
      <c r="Z120" s="7"/>
    </row>
    <row r="121">
      <c r="D121" s="7"/>
      <c r="H121" s="7"/>
      <c r="I121" s="7"/>
      <c r="Z121" s="7"/>
    </row>
    <row r="122">
      <c r="D122" s="7"/>
      <c r="H122" s="7"/>
      <c r="I122" s="7"/>
      <c r="Z122" s="7"/>
    </row>
    <row r="123">
      <c r="D123" s="7"/>
      <c r="H123" s="7"/>
      <c r="I123" s="7"/>
      <c r="Z123" s="7"/>
    </row>
    <row r="124">
      <c r="D124" s="7"/>
      <c r="H124" s="7"/>
      <c r="I124" s="7"/>
      <c r="Z124" s="7"/>
    </row>
    <row r="125">
      <c r="D125" s="7"/>
      <c r="H125" s="7"/>
      <c r="I125" s="7"/>
      <c r="Z125" s="7"/>
    </row>
    <row r="126">
      <c r="D126" s="7"/>
      <c r="H126" s="7"/>
      <c r="I126" s="7"/>
      <c r="Z126" s="7"/>
    </row>
    <row r="127">
      <c r="D127" s="7"/>
      <c r="H127" s="7"/>
      <c r="I127" s="7"/>
      <c r="Z127" s="7"/>
    </row>
    <row r="128">
      <c r="D128" s="7"/>
      <c r="H128" s="7"/>
      <c r="I128" s="7"/>
      <c r="Z128" s="7"/>
    </row>
    <row r="129">
      <c r="D129" s="7"/>
      <c r="H129" s="7"/>
      <c r="I129" s="7"/>
      <c r="Z129" s="7"/>
    </row>
    <row r="130">
      <c r="D130" s="7"/>
      <c r="H130" s="7"/>
      <c r="I130" s="7"/>
      <c r="Z130" s="7"/>
    </row>
    <row r="131">
      <c r="D131" s="7"/>
      <c r="H131" s="7"/>
      <c r="I131" s="7"/>
      <c r="Z131" s="7"/>
    </row>
    <row r="132">
      <c r="D132" s="7"/>
      <c r="H132" s="7"/>
      <c r="I132" s="7"/>
      <c r="Z132" s="7"/>
    </row>
    <row r="133">
      <c r="D133" s="7"/>
      <c r="H133" s="7"/>
      <c r="I133" s="7"/>
      <c r="Z133" s="7"/>
    </row>
    <row r="134">
      <c r="D134" s="7"/>
      <c r="H134" s="7"/>
      <c r="I134" s="7"/>
      <c r="Z134" s="7"/>
    </row>
    <row r="135">
      <c r="D135" s="7"/>
      <c r="H135" s="7"/>
      <c r="I135" s="7"/>
      <c r="Z135" s="7"/>
    </row>
    <row r="136">
      <c r="D136" s="7"/>
      <c r="H136" s="7"/>
      <c r="I136" s="7"/>
      <c r="Z136" s="7"/>
    </row>
    <row r="137">
      <c r="D137" s="7"/>
      <c r="H137" s="7"/>
      <c r="I137" s="7"/>
      <c r="Z137" s="7"/>
    </row>
    <row r="138">
      <c r="D138" s="7"/>
      <c r="H138" s="7"/>
      <c r="I138" s="7"/>
      <c r="Z138" s="7"/>
    </row>
    <row r="139">
      <c r="D139" s="7"/>
      <c r="H139" s="7"/>
      <c r="I139" s="7"/>
      <c r="Z139" s="7"/>
    </row>
    <row r="140">
      <c r="D140" s="7"/>
      <c r="H140" s="7"/>
      <c r="I140" s="7"/>
      <c r="Z140" s="7"/>
    </row>
    <row r="141">
      <c r="D141" s="7"/>
      <c r="H141" s="7"/>
      <c r="I141" s="7"/>
      <c r="Z141" s="7"/>
    </row>
    <row r="142">
      <c r="D142" s="7"/>
      <c r="H142" s="7"/>
      <c r="I142" s="7"/>
      <c r="Z142" s="7"/>
    </row>
    <row r="143">
      <c r="D143" s="7"/>
      <c r="H143" s="7"/>
      <c r="I143" s="7"/>
      <c r="Z143" s="7"/>
    </row>
    <row r="144">
      <c r="D144" s="7"/>
      <c r="H144" s="7"/>
      <c r="I144" s="7"/>
      <c r="Z144" s="7"/>
    </row>
    <row r="145">
      <c r="D145" s="7"/>
      <c r="H145" s="7"/>
      <c r="I145" s="7"/>
      <c r="Z145" s="7"/>
    </row>
    <row r="146">
      <c r="D146" s="7"/>
      <c r="H146" s="7"/>
      <c r="I146" s="7"/>
      <c r="Z146" s="7"/>
    </row>
    <row r="147">
      <c r="D147" s="7"/>
      <c r="H147" s="7"/>
      <c r="I147" s="7"/>
      <c r="Z147" s="7"/>
    </row>
    <row r="148">
      <c r="D148" s="7"/>
      <c r="H148" s="7"/>
      <c r="I148" s="7"/>
      <c r="Z148" s="7"/>
    </row>
    <row r="149">
      <c r="D149" s="7"/>
      <c r="H149" s="7"/>
      <c r="I149" s="7"/>
      <c r="Z149" s="7"/>
    </row>
    <row r="150">
      <c r="D150" s="7"/>
      <c r="H150" s="7"/>
      <c r="I150" s="7"/>
      <c r="Z150" s="7"/>
    </row>
    <row r="151">
      <c r="D151" s="7"/>
      <c r="H151" s="7"/>
      <c r="I151" s="7"/>
      <c r="Z151" s="7"/>
    </row>
    <row r="152">
      <c r="D152" s="7"/>
      <c r="H152" s="7"/>
      <c r="I152" s="7"/>
      <c r="Z152" s="7"/>
    </row>
    <row r="153">
      <c r="D153" s="7"/>
      <c r="H153" s="7"/>
      <c r="I153" s="7"/>
      <c r="Z153" s="7"/>
    </row>
    <row r="154">
      <c r="D154" s="7"/>
      <c r="H154" s="7"/>
      <c r="I154" s="7"/>
      <c r="Z154" s="7"/>
    </row>
    <row r="155">
      <c r="D155" s="7"/>
      <c r="H155" s="7"/>
      <c r="I155" s="7"/>
      <c r="Z155" s="7"/>
    </row>
    <row r="156">
      <c r="D156" s="7"/>
      <c r="H156" s="7"/>
      <c r="I156" s="7"/>
      <c r="Z156" s="7"/>
    </row>
    <row r="157">
      <c r="D157" s="7"/>
      <c r="H157" s="7"/>
      <c r="I157" s="7"/>
      <c r="Z157" s="7"/>
    </row>
    <row r="158">
      <c r="D158" s="7"/>
      <c r="H158" s="7"/>
      <c r="I158" s="7"/>
      <c r="Z158" s="7"/>
    </row>
    <row r="159">
      <c r="D159" s="7"/>
      <c r="H159" s="7"/>
      <c r="I159" s="7"/>
      <c r="Z159" s="7"/>
    </row>
    <row r="160">
      <c r="D160" s="7"/>
      <c r="H160" s="7"/>
      <c r="I160" s="7"/>
      <c r="Z160" s="7"/>
    </row>
    <row r="161">
      <c r="D161" s="7"/>
      <c r="H161" s="7"/>
      <c r="I161" s="7"/>
      <c r="Z161" s="7"/>
    </row>
    <row r="162">
      <c r="D162" s="7"/>
      <c r="H162" s="7"/>
      <c r="I162" s="7"/>
      <c r="Z162" s="7"/>
    </row>
    <row r="163">
      <c r="D163" s="7"/>
      <c r="H163" s="7"/>
      <c r="I163" s="7"/>
      <c r="Z163" s="7"/>
    </row>
    <row r="164">
      <c r="D164" s="7"/>
      <c r="H164" s="7"/>
      <c r="I164" s="7"/>
      <c r="Z164" s="7"/>
    </row>
    <row r="165">
      <c r="D165" s="7"/>
      <c r="H165" s="7"/>
      <c r="I165" s="7"/>
      <c r="Z165" s="7"/>
    </row>
    <row r="166">
      <c r="D166" s="7"/>
      <c r="H166" s="7"/>
      <c r="I166" s="7"/>
      <c r="Z166" s="7"/>
    </row>
    <row r="167">
      <c r="D167" s="7"/>
      <c r="H167" s="7"/>
      <c r="I167" s="7"/>
      <c r="Z167" s="7"/>
    </row>
    <row r="168">
      <c r="D168" s="7"/>
      <c r="H168" s="7"/>
      <c r="I168" s="7"/>
      <c r="Z168" s="7"/>
    </row>
    <row r="169">
      <c r="D169" s="7"/>
      <c r="H169" s="7"/>
      <c r="I169" s="7"/>
      <c r="Z169" s="7"/>
    </row>
    <row r="170">
      <c r="D170" s="7"/>
      <c r="H170" s="7"/>
      <c r="I170" s="7"/>
      <c r="Z170" s="7"/>
    </row>
    <row r="171">
      <c r="D171" s="7"/>
      <c r="H171" s="7"/>
      <c r="I171" s="7"/>
      <c r="Z171" s="7"/>
    </row>
    <row r="172">
      <c r="D172" s="7"/>
      <c r="H172" s="7"/>
      <c r="I172" s="7"/>
      <c r="Z172" s="7"/>
    </row>
    <row r="173">
      <c r="D173" s="7"/>
      <c r="H173" s="7"/>
      <c r="I173" s="7"/>
      <c r="Z173" s="7"/>
    </row>
    <row r="174">
      <c r="D174" s="7"/>
      <c r="H174" s="7"/>
      <c r="I174" s="7"/>
      <c r="Z174" s="7"/>
    </row>
    <row r="175">
      <c r="D175" s="7"/>
      <c r="H175" s="7"/>
      <c r="I175" s="7"/>
      <c r="Z175" s="7"/>
    </row>
    <row r="176">
      <c r="D176" s="7"/>
      <c r="H176" s="7"/>
      <c r="I176" s="7"/>
      <c r="Z176" s="7"/>
    </row>
    <row r="177">
      <c r="D177" s="7"/>
      <c r="H177" s="7"/>
      <c r="I177" s="7"/>
      <c r="Z177" s="7"/>
    </row>
    <row r="178">
      <c r="D178" s="7"/>
      <c r="H178" s="7"/>
      <c r="I178" s="7"/>
      <c r="Z178" s="7"/>
    </row>
    <row r="179">
      <c r="D179" s="7"/>
      <c r="H179" s="7"/>
      <c r="I179" s="7"/>
      <c r="Z179" s="7"/>
    </row>
    <row r="180">
      <c r="D180" s="7"/>
      <c r="H180" s="7"/>
      <c r="I180" s="7"/>
      <c r="Z180" s="7"/>
    </row>
    <row r="181">
      <c r="D181" s="7"/>
      <c r="H181" s="7"/>
      <c r="I181" s="7"/>
      <c r="Z181" s="7"/>
    </row>
    <row r="182">
      <c r="D182" s="7"/>
      <c r="H182" s="7"/>
      <c r="I182" s="7"/>
      <c r="Z182" s="7"/>
    </row>
    <row r="183">
      <c r="D183" s="7"/>
      <c r="H183" s="7"/>
      <c r="I183" s="7"/>
      <c r="Z183" s="7"/>
    </row>
    <row r="184">
      <c r="D184" s="7"/>
      <c r="H184" s="7"/>
      <c r="I184" s="7"/>
      <c r="Z184" s="7"/>
    </row>
    <row r="185">
      <c r="D185" s="7"/>
      <c r="H185" s="7"/>
      <c r="I185" s="7"/>
      <c r="Z185" s="7"/>
    </row>
    <row r="186">
      <c r="D186" s="7"/>
      <c r="H186" s="7"/>
      <c r="I186" s="7"/>
      <c r="Z186" s="7"/>
    </row>
    <row r="187">
      <c r="D187" s="7"/>
      <c r="H187" s="7"/>
      <c r="I187" s="7"/>
      <c r="Z187" s="7"/>
    </row>
    <row r="188">
      <c r="D188" s="7"/>
      <c r="H188" s="7"/>
      <c r="I188" s="7"/>
      <c r="Z188" s="7"/>
    </row>
    <row r="189">
      <c r="D189" s="7"/>
      <c r="H189" s="7"/>
      <c r="I189" s="7"/>
      <c r="Z189" s="7"/>
    </row>
    <row r="190">
      <c r="D190" s="7"/>
      <c r="H190" s="7"/>
      <c r="I190" s="7"/>
      <c r="Z190" s="7"/>
    </row>
    <row r="191">
      <c r="D191" s="7"/>
      <c r="H191" s="7"/>
      <c r="I191" s="7"/>
      <c r="Z191" s="7"/>
    </row>
    <row r="192">
      <c r="D192" s="7"/>
      <c r="H192" s="7"/>
      <c r="I192" s="7"/>
      <c r="Z192" s="7"/>
    </row>
    <row r="193">
      <c r="D193" s="7"/>
      <c r="H193" s="7"/>
      <c r="I193" s="7"/>
      <c r="Z193" s="7"/>
    </row>
    <row r="194">
      <c r="D194" s="7"/>
      <c r="H194" s="7"/>
      <c r="I194" s="7"/>
      <c r="Z194" s="7"/>
    </row>
    <row r="195">
      <c r="D195" s="7"/>
      <c r="H195" s="7"/>
      <c r="I195" s="7"/>
      <c r="Z195" s="7"/>
    </row>
    <row r="196">
      <c r="D196" s="7"/>
      <c r="H196" s="7"/>
      <c r="I196" s="7"/>
      <c r="Z196" s="7"/>
    </row>
    <row r="197">
      <c r="D197" s="7"/>
      <c r="H197" s="7"/>
      <c r="I197" s="7"/>
      <c r="Z197" s="7"/>
    </row>
    <row r="198">
      <c r="D198" s="7"/>
      <c r="H198" s="7"/>
      <c r="I198" s="7"/>
      <c r="Z198" s="7"/>
    </row>
    <row r="199">
      <c r="D199" s="7"/>
      <c r="H199" s="7"/>
      <c r="I199" s="7"/>
      <c r="Z199" s="7"/>
    </row>
    <row r="200">
      <c r="D200" s="7"/>
      <c r="H200" s="7"/>
      <c r="I200" s="7"/>
      <c r="Z200" s="7"/>
    </row>
    <row r="201">
      <c r="D201" s="7"/>
      <c r="H201" s="7"/>
      <c r="I201" s="7"/>
      <c r="Z201" s="7"/>
    </row>
    <row r="202">
      <c r="D202" s="7"/>
      <c r="H202" s="7"/>
      <c r="I202" s="7"/>
      <c r="Z202" s="7"/>
    </row>
    <row r="203">
      <c r="D203" s="7"/>
      <c r="H203" s="7"/>
      <c r="I203" s="7"/>
      <c r="Z203" s="7"/>
    </row>
    <row r="204">
      <c r="D204" s="7"/>
      <c r="H204" s="7"/>
      <c r="I204" s="7"/>
      <c r="Z204" s="7"/>
    </row>
    <row r="205">
      <c r="D205" s="7"/>
      <c r="H205" s="7"/>
      <c r="I205" s="7"/>
      <c r="Z205" s="7"/>
    </row>
    <row r="206">
      <c r="D206" s="7"/>
      <c r="H206" s="7"/>
      <c r="I206" s="7"/>
      <c r="Z206" s="7"/>
    </row>
    <row r="207">
      <c r="D207" s="7"/>
      <c r="H207" s="7"/>
      <c r="I207" s="7"/>
      <c r="Z207" s="7"/>
    </row>
    <row r="208">
      <c r="D208" s="7"/>
      <c r="H208" s="7"/>
      <c r="I208" s="7"/>
      <c r="Z208" s="7"/>
    </row>
    <row r="209">
      <c r="D209" s="7"/>
      <c r="H209" s="7"/>
      <c r="I209" s="7"/>
      <c r="Z209" s="7"/>
    </row>
    <row r="210">
      <c r="D210" s="7"/>
      <c r="H210" s="7"/>
      <c r="I210" s="7"/>
      <c r="Z210" s="7"/>
    </row>
    <row r="211">
      <c r="D211" s="7"/>
      <c r="H211" s="7"/>
      <c r="I211" s="7"/>
      <c r="Z211" s="7"/>
    </row>
    <row r="212">
      <c r="D212" s="7"/>
      <c r="H212" s="7"/>
      <c r="I212" s="7"/>
      <c r="Z212" s="7"/>
    </row>
    <row r="213">
      <c r="D213" s="7"/>
      <c r="H213" s="7"/>
      <c r="I213" s="7"/>
      <c r="Z213" s="7"/>
    </row>
    <row r="214">
      <c r="D214" s="7"/>
      <c r="H214" s="7"/>
      <c r="I214" s="7"/>
      <c r="Z214" s="7"/>
    </row>
    <row r="215">
      <c r="D215" s="7"/>
      <c r="H215" s="7"/>
      <c r="I215" s="7"/>
      <c r="Z215" s="7"/>
    </row>
    <row r="216">
      <c r="D216" s="7"/>
      <c r="H216" s="7"/>
      <c r="I216" s="7"/>
      <c r="Z216" s="7"/>
    </row>
    <row r="217">
      <c r="D217" s="7"/>
      <c r="H217" s="7"/>
      <c r="I217" s="7"/>
      <c r="Z217" s="7"/>
    </row>
    <row r="218">
      <c r="D218" s="7"/>
      <c r="H218" s="7"/>
      <c r="I218" s="7"/>
      <c r="Z218" s="7"/>
    </row>
    <row r="219">
      <c r="D219" s="7"/>
      <c r="H219" s="7"/>
      <c r="I219" s="7"/>
      <c r="Z219" s="7"/>
    </row>
    <row r="220">
      <c r="D220" s="7"/>
      <c r="H220" s="7"/>
      <c r="I220" s="7"/>
      <c r="Z220" s="7"/>
    </row>
    <row r="221">
      <c r="D221" s="7"/>
      <c r="H221" s="7"/>
      <c r="I221" s="7"/>
      <c r="Z221" s="7"/>
    </row>
    <row r="222">
      <c r="D222" s="7"/>
      <c r="H222" s="7"/>
      <c r="I222" s="7"/>
      <c r="Z222" s="7"/>
    </row>
    <row r="223">
      <c r="D223" s="7"/>
      <c r="H223" s="7"/>
      <c r="I223" s="7"/>
      <c r="Z223" s="7"/>
    </row>
    <row r="224">
      <c r="D224" s="7"/>
      <c r="H224" s="7"/>
      <c r="I224" s="7"/>
      <c r="Z224" s="7"/>
    </row>
    <row r="225">
      <c r="D225" s="7"/>
      <c r="H225" s="7"/>
      <c r="I225" s="7"/>
      <c r="Z225" s="7"/>
    </row>
    <row r="226">
      <c r="D226" s="7"/>
      <c r="H226" s="7"/>
      <c r="I226" s="7"/>
      <c r="Z226" s="7"/>
    </row>
    <row r="227">
      <c r="D227" s="7"/>
      <c r="H227" s="7"/>
      <c r="I227" s="7"/>
      <c r="Z227" s="7"/>
    </row>
    <row r="228">
      <c r="D228" s="7"/>
      <c r="H228" s="7"/>
      <c r="I228" s="7"/>
      <c r="Z228" s="7"/>
    </row>
    <row r="229">
      <c r="D229" s="7"/>
      <c r="H229" s="7"/>
      <c r="I229" s="7"/>
      <c r="Z229" s="7"/>
    </row>
    <row r="230">
      <c r="D230" s="7"/>
      <c r="H230" s="7"/>
      <c r="I230" s="7"/>
      <c r="Z230" s="7"/>
    </row>
    <row r="231">
      <c r="D231" s="7"/>
      <c r="H231" s="7"/>
      <c r="I231" s="7"/>
      <c r="Z231" s="7"/>
    </row>
    <row r="232">
      <c r="D232" s="7"/>
      <c r="H232" s="7"/>
      <c r="I232" s="7"/>
      <c r="Z232" s="7"/>
    </row>
    <row r="233">
      <c r="D233" s="7"/>
      <c r="H233" s="7"/>
      <c r="I233" s="7"/>
      <c r="Z233" s="7"/>
    </row>
    <row r="234">
      <c r="D234" s="7"/>
      <c r="H234" s="7"/>
      <c r="I234" s="7"/>
      <c r="Z234" s="7"/>
    </row>
    <row r="235">
      <c r="D235" s="7"/>
      <c r="H235" s="7"/>
      <c r="I235" s="7"/>
      <c r="Z235" s="7"/>
    </row>
    <row r="236">
      <c r="D236" s="7"/>
      <c r="H236" s="7"/>
      <c r="I236" s="7"/>
      <c r="Z236" s="7"/>
    </row>
    <row r="237">
      <c r="D237" s="7"/>
      <c r="H237" s="7"/>
      <c r="I237" s="7"/>
      <c r="Z237" s="7"/>
    </row>
    <row r="238">
      <c r="D238" s="7"/>
      <c r="H238" s="7"/>
      <c r="I238" s="7"/>
      <c r="Z238" s="7"/>
    </row>
    <row r="239">
      <c r="D239" s="7"/>
      <c r="H239" s="7"/>
      <c r="I239" s="7"/>
      <c r="Z239" s="7"/>
    </row>
    <row r="240">
      <c r="D240" s="7"/>
      <c r="H240" s="7"/>
      <c r="I240" s="7"/>
      <c r="Z240" s="7"/>
    </row>
    <row r="241">
      <c r="D241" s="7"/>
      <c r="H241" s="7"/>
      <c r="I241" s="7"/>
      <c r="Z241" s="7"/>
    </row>
    <row r="242">
      <c r="D242" s="7"/>
      <c r="H242" s="7"/>
      <c r="I242" s="7"/>
      <c r="Z242" s="7"/>
    </row>
    <row r="243">
      <c r="D243" s="7"/>
      <c r="H243" s="7"/>
      <c r="I243" s="7"/>
      <c r="Z243" s="7"/>
    </row>
    <row r="244">
      <c r="D244" s="7"/>
      <c r="H244" s="7"/>
      <c r="I244" s="7"/>
      <c r="Z244" s="7"/>
    </row>
    <row r="245">
      <c r="D245" s="7"/>
      <c r="H245" s="7"/>
      <c r="I245" s="7"/>
      <c r="Z245" s="7"/>
    </row>
    <row r="246">
      <c r="D246" s="7"/>
      <c r="H246" s="7"/>
      <c r="I246" s="7"/>
      <c r="Z246" s="7"/>
    </row>
    <row r="247">
      <c r="D247" s="7"/>
      <c r="H247" s="7"/>
      <c r="I247" s="7"/>
      <c r="Z247" s="7"/>
    </row>
    <row r="248">
      <c r="D248" s="7"/>
      <c r="H248" s="7"/>
      <c r="I248" s="7"/>
      <c r="Z248" s="7"/>
    </row>
    <row r="249">
      <c r="D249" s="7"/>
      <c r="H249" s="7"/>
      <c r="I249" s="7"/>
      <c r="Z249" s="7"/>
    </row>
    <row r="250">
      <c r="D250" s="7"/>
      <c r="H250" s="7"/>
      <c r="I250" s="7"/>
      <c r="Z250" s="7"/>
    </row>
    <row r="251">
      <c r="D251" s="7"/>
      <c r="H251" s="7"/>
      <c r="I251" s="7"/>
      <c r="Z251" s="7"/>
    </row>
    <row r="252">
      <c r="D252" s="7"/>
      <c r="H252" s="7"/>
      <c r="I252" s="7"/>
      <c r="Z252" s="7"/>
    </row>
    <row r="253">
      <c r="D253" s="7"/>
      <c r="H253" s="7"/>
      <c r="I253" s="7"/>
      <c r="Z253" s="7"/>
    </row>
    <row r="254">
      <c r="D254" s="7"/>
      <c r="H254" s="7"/>
      <c r="I254" s="7"/>
      <c r="Z254" s="7"/>
    </row>
    <row r="255">
      <c r="D255" s="7"/>
      <c r="H255" s="7"/>
      <c r="I255" s="7"/>
      <c r="Z255" s="7"/>
    </row>
    <row r="256">
      <c r="D256" s="7"/>
      <c r="H256" s="7"/>
      <c r="I256" s="7"/>
      <c r="Z256" s="7"/>
    </row>
    <row r="257">
      <c r="D257" s="7"/>
      <c r="H257" s="7"/>
      <c r="I257" s="7"/>
      <c r="Z257" s="7"/>
    </row>
    <row r="258">
      <c r="D258" s="7"/>
      <c r="H258" s="7"/>
      <c r="I258" s="7"/>
      <c r="Z258" s="7"/>
    </row>
    <row r="259">
      <c r="D259" s="7"/>
      <c r="H259" s="7"/>
      <c r="I259" s="7"/>
      <c r="Z259" s="7"/>
    </row>
    <row r="260">
      <c r="D260" s="7"/>
      <c r="H260" s="7"/>
      <c r="I260" s="7"/>
      <c r="Z260" s="7"/>
    </row>
    <row r="261">
      <c r="D261" s="7"/>
      <c r="H261" s="7"/>
      <c r="I261" s="7"/>
      <c r="Z261" s="7"/>
    </row>
    <row r="262">
      <c r="D262" s="7"/>
      <c r="H262" s="7"/>
      <c r="I262" s="7"/>
      <c r="Z262" s="7"/>
    </row>
    <row r="263">
      <c r="D263" s="7"/>
      <c r="H263" s="7"/>
      <c r="I263" s="7"/>
      <c r="Z263" s="7"/>
    </row>
    <row r="264">
      <c r="D264" s="7"/>
      <c r="H264" s="7"/>
      <c r="I264" s="7"/>
      <c r="Z264" s="7"/>
    </row>
    <row r="265">
      <c r="D265" s="7"/>
      <c r="H265" s="7"/>
      <c r="I265" s="7"/>
      <c r="Z265" s="7"/>
    </row>
    <row r="266">
      <c r="D266" s="7"/>
      <c r="H266" s="7"/>
      <c r="I266" s="7"/>
      <c r="Z266" s="7"/>
    </row>
    <row r="267">
      <c r="D267" s="7"/>
      <c r="H267" s="7"/>
      <c r="I267" s="7"/>
      <c r="Z267" s="7"/>
    </row>
    <row r="268">
      <c r="D268" s="7"/>
      <c r="H268" s="7"/>
      <c r="I268" s="7"/>
      <c r="Z268" s="7"/>
    </row>
    <row r="269">
      <c r="D269" s="7"/>
      <c r="H269" s="7"/>
      <c r="I269" s="7"/>
      <c r="Z269" s="7"/>
    </row>
    <row r="270">
      <c r="D270" s="7"/>
      <c r="H270" s="7"/>
      <c r="I270" s="7"/>
      <c r="Z270" s="7"/>
    </row>
    <row r="271">
      <c r="D271" s="7"/>
      <c r="H271" s="7"/>
      <c r="I271" s="7"/>
      <c r="Z271" s="7"/>
    </row>
    <row r="272">
      <c r="D272" s="7"/>
      <c r="H272" s="7"/>
      <c r="I272" s="7"/>
      <c r="Z272" s="7"/>
    </row>
    <row r="273">
      <c r="D273" s="7"/>
      <c r="H273" s="7"/>
      <c r="I273" s="7"/>
      <c r="Z273" s="7"/>
    </row>
    <row r="274">
      <c r="D274" s="7"/>
      <c r="H274" s="7"/>
      <c r="I274" s="7"/>
      <c r="Z274" s="7"/>
    </row>
    <row r="275">
      <c r="D275" s="7"/>
      <c r="H275" s="7"/>
      <c r="I275" s="7"/>
      <c r="Z275" s="7"/>
    </row>
    <row r="276">
      <c r="D276" s="7"/>
      <c r="H276" s="7"/>
      <c r="I276" s="7"/>
      <c r="Z276" s="7"/>
    </row>
    <row r="277">
      <c r="D277" s="7"/>
      <c r="H277" s="7"/>
      <c r="I277" s="7"/>
      <c r="Z277" s="7"/>
    </row>
    <row r="278">
      <c r="D278" s="7"/>
      <c r="H278" s="7"/>
      <c r="I278" s="7"/>
      <c r="Z278" s="7"/>
    </row>
    <row r="279">
      <c r="D279" s="7"/>
      <c r="H279" s="7"/>
      <c r="I279" s="7"/>
      <c r="Z279" s="7"/>
    </row>
    <row r="280">
      <c r="D280" s="7"/>
      <c r="H280" s="7"/>
      <c r="I280" s="7"/>
      <c r="Z280" s="7"/>
    </row>
    <row r="281">
      <c r="D281" s="7"/>
      <c r="H281" s="7"/>
      <c r="I281" s="7"/>
      <c r="Z281" s="7"/>
    </row>
    <row r="282">
      <c r="D282" s="7"/>
      <c r="H282" s="7"/>
      <c r="I282" s="7"/>
      <c r="Z282" s="7"/>
    </row>
    <row r="283">
      <c r="D283" s="7"/>
      <c r="H283" s="7"/>
      <c r="I283" s="7"/>
      <c r="Z283" s="7"/>
    </row>
    <row r="284">
      <c r="D284" s="7"/>
      <c r="H284" s="7"/>
      <c r="I284" s="7"/>
      <c r="Z284" s="7"/>
    </row>
    <row r="285">
      <c r="D285" s="7"/>
      <c r="H285" s="7"/>
      <c r="I285" s="7"/>
      <c r="Z285" s="7"/>
    </row>
    <row r="286">
      <c r="D286" s="7"/>
      <c r="H286" s="7"/>
      <c r="I286" s="7"/>
      <c r="Z286" s="7"/>
    </row>
    <row r="287">
      <c r="D287" s="7"/>
      <c r="H287" s="7"/>
      <c r="I287" s="7"/>
      <c r="Z287" s="7"/>
    </row>
    <row r="288">
      <c r="D288" s="7"/>
      <c r="H288" s="7"/>
      <c r="I288" s="7"/>
      <c r="Z288" s="7"/>
    </row>
    <row r="289">
      <c r="D289" s="7"/>
      <c r="H289" s="7"/>
      <c r="I289" s="7"/>
      <c r="Z289" s="7"/>
    </row>
    <row r="290">
      <c r="D290" s="7"/>
      <c r="H290" s="7"/>
      <c r="I290" s="7"/>
      <c r="Z290" s="7"/>
    </row>
    <row r="291">
      <c r="D291" s="7"/>
      <c r="H291" s="7"/>
      <c r="I291" s="7"/>
      <c r="Z291" s="7"/>
    </row>
    <row r="292">
      <c r="D292" s="7"/>
      <c r="H292" s="7"/>
      <c r="I292" s="7"/>
      <c r="Z292" s="7"/>
    </row>
    <row r="293">
      <c r="D293" s="7"/>
      <c r="H293" s="7"/>
      <c r="I293" s="7"/>
      <c r="Z293" s="7"/>
    </row>
    <row r="294">
      <c r="D294" s="7"/>
      <c r="H294" s="7"/>
      <c r="I294" s="7"/>
      <c r="Z294" s="7"/>
    </row>
    <row r="295">
      <c r="D295" s="7"/>
      <c r="H295" s="7"/>
      <c r="I295" s="7"/>
      <c r="Z295" s="7"/>
    </row>
    <row r="296">
      <c r="D296" s="7"/>
      <c r="H296" s="7"/>
      <c r="I296" s="7"/>
      <c r="Z296" s="7"/>
    </row>
    <row r="297">
      <c r="D297" s="7"/>
      <c r="H297" s="7"/>
      <c r="I297" s="7"/>
      <c r="Z297" s="7"/>
    </row>
    <row r="298">
      <c r="D298" s="7"/>
      <c r="H298" s="7"/>
      <c r="I298" s="7"/>
      <c r="Z298" s="7"/>
    </row>
    <row r="299">
      <c r="D299" s="7"/>
      <c r="H299" s="7"/>
      <c r="I299" s="7"/>
      <c r="Z299" s="7"/>
    </row>
    <row r="300">
      <c r="D300" s="7"/>
      <c r="H300" s="7"/>
      <c r="I300" s="7"/>
      <c r="Z300" s="7"/>
    </row>
    <row r="301">
      <c r="D301" s="7"/>
      <c r="H301" s="7"/>
      <c r="I301" s="7"/>
      <c r="Z301" s="7"/>
    </row>
    <row r="302">
      <c r="D302" s="7"/>
      <c r="H302" s="7"/>
      <c r="I302" s="7"/>
      <c r="Z302" s="7"/>
    </row>
    <row r="303">
      <c r="D303" s="7"/>
      <c r="H303" s="7"/>
      <c r="I303" s="7"/>
      <c r="Z303" s="7"/>
    </row>
    <row r="304">
      <c r="D304" s="7"/>
      <c r="H304" s="7"/>
      <c r="I304" s="7"/>
      <c r="Z304" s="7"/>
    </row>
    <row r="305">
      <c r="D305" s="7"/>
      <c r="H305" s="7"/>
      <c r="I305" s="7"/>
      <c r="Z305" s="7"/>
    </row>
    <row r="306">
      <c r="D306" s="7"/>
      <c r="H306" s="7"/>
      <c r="I306" s="7"/>
      <c r="Z306" s="7"/>
    </row>
    <row r="307">
      <c r="D307" s="7"/>
      <c r="H307" s="7"/>
      <c r="I307" s="7"/>
      <c r="Z307" s="7"/>
    </row>
    <row r="308">
      <c r="D308" s="7"/>
      <c r="H308" s="7"/>
      <c r="I308" s="7"/>
      <c r="Z308" s="7"/>
    </row>
    <row r="309">
      <c r="D309" s="7"/>
      <c r="H309" s="7"/>
      <c r="I309" s="7"/>
      <c r="Z309" s="7"/>
    </row>
    <row r="310">
      <c r="D310" s="7"/>
      <c r="H310" s="7"/>
      <c r="I310" s="7"/>
      <c r="Z310" s="7"/>
    </row>
    <row r="311">
      <c r="D311" s="7"/>
      <c r="H311" s="7"/>
      <c r="I311" s="7"/>
      <c r="Z311" s="7"/>
    </row>
    <row r="312">
      <c r="D312" s="7"/>
      <c r="H312" s="7"/>
      <c r="I312" s="7"/>
      <c r="Z312" s="7"/>
    </row>
    <row r="313">
      <c r="D313" s="7"/>
      <c r="H313" s="7"/>
      <c r="I313" s="7"/>
      <c r="Z313" s="7"/>
    </row>
    <row r="314">
      <c r="D314" s="7"/>
      <c r="H314" s="7"/>
      <c r="I314" s="7"/>
      <c r="Z314" s="7"/>
    </row>
    <row r="315">
      <c r="D315" s="7"/>
      <c r="H315" s="7"/>
      <c r="I315" s="7"/>
      <c r="Z315" s="7"/>
    </row>
    <row r="316">
      <c r="D316" s="7"/>
      <c r="H316" s="7"/>
      <c r="I316" s="7"/>
      <c r="Z316" s="7"/>
    </row>
    <row r="317">
      <c r="D317" s="7"/>
      <c r="H317" s="7"/>
      <c r="I317" s="7"/>
      <c r="Z317" s="7"/>
    </row>
    <row r="318">
      <c r="D318" s="7"/>
      <c r="H318" s="7"/>
      <c r="I318" s="7"/>
      <c r="Z318" s="7"/>
    </row>
    <row r="319">
      <c r="D319" s="7"/>
      <c r="H319" s="7"/>
      <c r="I319" s="7"/>
      <c r="Z319" s="7"/>
    </row>
    <row r="320">
      <c r="D320" s="7"/>
      <c r="H320" s="7"/>
      <c r="I320" s="7"/>
      <c r="Z320" s="7"/>
    </row>
    <row r="321">
      <c r="D321" s="7"/>
      <c r="H321" s="7"/>
      <c r="I321" s="7"/>
      <c r="Z321" s="7"/>
    </row>
    <row r="322">
      <c r="D322" s="7"/>
      <c r="H322" s="7"/>
      <c r="I322" s="7"/>
      <c r="Z322" s="7"/>
    </row>
    <row r="323">
      <c r="D323" s="7"/>
      <c r="H323" s="7"/>
      <c r="I323" s="7"/>
      <c r="Z323" s="7"/>
    </row>
    <row r="324">
      <c r="D324" s="7"/>
      <c r="H324" s="7"/>
      <c r="I324" s="7"/>
      <c r="Z324" s="7"/>
    </row>
    <row r="325">
      <c r="D325" s="7"/>
      <c r="H325" s="7"/>
      <c r="I325" s="7"/>
      <c r="Z325" s="7"/>
    </row>
    <row r="326">
      <c r="D326" s="7"/>
      <c r="H326" s="7"/>
      <c r="I326" s="7"/>
      <c r="Z326" s="7"/>
    </row>
    <row r="327">
      <c r="D327" s="7"/>
      <c r="H327" s="7"/>
      <c r="I327" s="7"/>
      <c r="Z327" s="7"/>
    </row>
    <row r="328">
      <c r="D328" s="7"/>
      <c r="H328" s="7"/>
      <c r="I328" s="7"/>
      <c r="Z328" s="7"/>
    </row>
    <row r="329">
      <c r="D329" s="7"/>
      <c r="H329" s="7"/>
      <c r="I329" s="7"/>
      <c r="Z329" s="7"/>
    </row>
    <row r="330">
      <c r="D330" s="7"/>
      <c r="H330" s="7"/>
      <c r="I330" s="7"/>
      <c r="Z330" s="7"/>
    </row>
    <row r="331">
      <c r="D331" s="7"/>
      <c r="H331" s="7"/>
      <c r="I331" s="7"/>
      <c r="Z331" s="7"/>
    </row>
    <row r="332">
      <c r="D332" s="7"/>
      <c r="H332" s="7"/>
      <c r="I332" s="7"/>
      <c r="Z332" s="7"/>
    </row>
    <row r="333">
      <c r="D333" s="7"/>
      <c r="H333" s="7"/>
      <c r="I333" s="7"/>
      <c r="Z333" s="7"/>
    </row>
    <row r="334">
      <c r="D334" s="7"/>
      <c r="H334" s="7"/>
      <c r="I334" s="7"/>
      <c r="Z334" s="7"/>
    </row>
    <row r="335">
      <c r="D335" s="7"/>
      <c r="H335" s="7"/>
      <c r="I335" s="7"/>
      <c r="Z335" s="7"/>
    </row>
    <row r="336">
      <c r="D336" s="7"/>
      <c r="H336" s="7"/>
      <c r="I336" s="7"/>
      <c r="Z336" s="7"/>
    </row>
    <row r="337">
      <c r="D337" s="7"/>
      <c r="H337" s="7"/>
      <c r="I337" s="7"/>
      <c r="Z337" s="7"/>
    </row>
    <row r="338">
      <c r="D338" s="7"/>
      <c r="H338" s="7"/>
      <c r="I338" s="7"/>
      <c r="Z338" s="7"/>
    </row>
    <row r="339">
      <c r="D339" s="7"/>
      <c r="H339" s="7"/>
      <c r="I339" s="7"/>
      <c r="Z339" s="7"/>
    </row>
    <row r="340">
      <c r="D340" s="7"/>
      <c r="H340" s="7"/>
      <c r="I340" s="7"/>
      <c r="Z340" s="7"/>
    </row>
    <row r="341">
      <c r="D341" s="7"/>
      <c r="H341" s="7"/>
      <c r="I341" s="7"/>
      <c r="Z341" s="7"/>
    </row>
    <row r="342">
      <c r="D342" s="7"/>
      <c r="H342" s="7"/>
      <c r="I342" s="7"/>
      <c r="Z342" s="7"/>
    </row>
    <row r="343">
      <c r="D343" s="7"/>
      <c r="H343" s="7"/>
      <c r="I343" s="7"/>
      <c r="Z343" s="7"/>
    </row>
    <row r="344">
      <c r="D344" s="7"/>
      <c r="H344" s="7"/>
      <c r="I344" s="7"/>
      <c r="Z344" s="7"/>
    </row>
    <row r="345">
      <c r="D345" s="7"/>
      <c r="H345" s="7"/>
      <c r="I345" s="7"/>
      <c r="Z345" s="7"/>
    </row>
    <row r="346">
      <c r="D346" s="7"/>
      <c r="H346" s="7"/>
      <c r="I346" s="7"/>
      <c r="Z346" s="7"/>
    </row>
    <row r="347">
      <c r="D347" s="7"/>
      <c r="H347" s="7"/>
      <c r="I347" s="7"/>
      <c r="Z347" s="7"/>
    </row>
    <row r="348">
      <c r="D348" s="7"/>
      <c r="H348" s="7"/>
      <c r="I348" s="7"/>
      <c r="Z348" s="7"/>
    </row>
    <row r="349">
      <c r="D349" s="7"/>
      <c r="H349" s="7"/>
      <c r="I349" s="7"/>
      <c r="Z349" s="7"/>
    </row>
    <row r="350">
      <c r="D350" s="7"/>
      <c r="H350" s="7"/>
      <c r="I350" s="7"/>
      <c r="Z350" s="7"/>
    </row>
    <row r="351">
      <c r="D351" s="7"/>
      <c r="H351" s="7"/>
      <c r="I351" s="7"/>
      <c r="Z351" s="7"/>
    </row>
    <row r="352">
      <c r="D352" s="7"/>
      <c r="H352" s="7"/>
      <c r="I352" s="7"/>
      <c r="Z352" s="7"/>
    </row>
    <row r="353">
      <c r="D353" s="7"/>
      <c r="H353" s="7"/>
      <c r="I353" s="7"/>
      <c r="Z353" s="7"/>
    </row>
    <row r="354">
      <c r="D354" s="7"/>
      <c r="H354" s="7"/>
      <c r="I354" s="7"/>
      <c r="Z354" s="7"/>
    </row>
    <row r="355">
      <c r="D355" s="7"/>
      <c r="H355" s="7"/>
      <c r="I355" s="7"/>
      <c r="Z355" s="7"/>
    </row>
    <row r="356">
      <c r="D356" s="7"/>
      <c r="H356" s="7"/>
      <c r="I356" s="7"/>
      <c r="Z356" s="7"/>
    </row>
    <row r="357">
      <c r="D357" s="7"/>
      <c r="H357" s="7"/>
      <c r="I357" s="7"/>
      <c r="Z357" s="7"/>
    </row>
    <row r="358">
      <c r="D358" s="7"/>
      <c r="H358" s="7"/>
      <c r="I358" s="7"/>
      <c r="Z358" s="7"/>
    </row>
    <row r="359">
      <c r="D359" s="7"/>
      <c r="H359" s="7"/>
      <c r="I359" s="7"/>
      <c r="Z359" s="7"/>
    </row>
    <row r="360">
      <c r="D360" s="7"/>
      <c r="H360" s="7"/>
      <c r="I360" s="7"/>
      <c r="Z360" s="7"/>
    </row>
    <row r="361">
      <c r="D361" s="7"/>
      <c r="H361" s="7"/>
      <c r="I361" s="7"/>
      <c r="Z361" s="7"/>
    </row>
    <row r="362">
      <c r="D362" s="7"/>
      <c r="H362" s="7"/>
      <c r="I362" s="7"/>
      <c r="Z362" s="7"/>
    </row>
    <row r="363">
      <c r="D363" s="7"/>
      <c r="H363" s="7"/>
      <c r="I363" s="7"/>
      <c r="Z363" s="7"/>
    </row>
    <row r="364">
      <c r="D364" s="7"/>
      <c r="H364" s="7"/>
      <c r="I364" s="7"/>
      <c r="Z364" s="7"/>
    </row>
    <row r="365">
      <c r="D365" s="7"/>
      <c r="H365" s="7"/>
      <c r="I365" s="7"/>
      <c r="Z365" s="7"/>
    </row>
    <row r="366">
      <c r="D366" s="7"/>
      <c r="H366" s="7"/>
      <c r="I366" s="7"/>
      <c r="Z366" s="7"/>
    </row>
    <row r="367">
      <c r="D367" s="7"/>
      <c r="H367" s="7"/>
      <c r="I367" s="7"/>
      <c r="Z367" s="7"/>
    </row>
    <row r="368">
      <c r="D368" s="7"/>
      <c r="H368" s="7"/>
      <c r="I368" s="7"/>
      <c r="Z368" s="7"/>
    </row>
    <row r="369">
      <c r="D369" s="7"/>
      <c r="H369" s="7"/>
      <c r="I369" s="7"/>
      <c r="Z369" s="7"/>
    </row>
    <row r="370">
      <c r="D370" s="7"/>
      <c r="H370" s="7"/>
      <c r="I370" s="7"/>
      <c r="Z370" s="7"/>
    </row>
    <row r="371">
      <c r="D371" s="7"/>
      <c r="H371" s="7"/>
      <c r="I371" s="7"/>
      <c r="Z371" s="7"/>
    </row>
    <row r="372">
      <c r="D372" s="7"/>
      <c r="H372" s="7"/>
      <c r="I372" s="7"/>
      <c r="Z372" s="7"/>
    </row>
    <row r="373">
      <c r="D373" s="7"/>
      <c r="H373" s="7"/>
      <c r="I373" s="7"/>
      <c r="Z373" s="7"/>
    </row>
    <row r="374">
      <c r="D374" s="7"/>
      <c r="H374" s="7"/>
      <c r="I374" s="7"/>
      <c r="Z374" s="7"/>
    </row>
    <row r="375">
      <c r="D375" s="7"/>
      <c r="H375" s="7"/>
      <c r="I375" s="7"/>
      <c r="Z375" s="7"/>
    </row>
    <row r="376">
      <c r="D376" s="7"/>
      <c r="H376" s="7"/>
      <c r="I376" s="7"/>
      <c r="Z376" s="7"/>
    </row>
    <row r="377">
      <c r="D377" s="7"/>
      <c r="H377" s="7"/>
      <c r="I377" s="7"/>
      <c r="Z377" s="7"/>
    </row>
    <row r="378">
      <c r="D378" s="7"/>
      <c r="H378" s="7"/>
      <c r="I378" s="7"/>
      <c r="Z378" s="7"/>
    </row>
    <row r="379">
      <c r="D379" s="7"/>
      <c r="H379" s="7"/>
      <c r="I379" s="7"/>
      <c r="Z379" s="7"/>
    </row>
    <row r="380">
      <c r="D380" s="7"/>
      <c r="H380" s="7"/>
      <c r="I380" s="7"/>
      <c r="Z380" s="7"/>
    </row>
    <row r="381">
      <c r="D381" s="7"/>
      <c r="H381" s="7"/>
      <c r="I381" s="7"/>
      <c r="Z381" s="7"/>
    </row>
    <row r="382">
      <c r="D382" s="7"/>
      <c r="H382" s="7"/>
      <c r="I382" s="7"/>
      <c r="Z382" s="7"/>
    </row>
    <row r="383">
      <c r="D383" s="7"/>
      <c r="H383" s="7"/>
      <c r="I383" s="7"/>
      <c r="Z383" s="7"/>
    </row>
    <row r="384">
      <c r="D384" s="7"/>
      <c r="H384" s="7"/>
      <c r="I384" s="7"/>
      <c r="Z384" s="7"/>
    </row>
    <row r="385">
      <c r="D385" s="7"/>
      <c r="H385" s="7"/>
      <c r="I385" s="7"/>
      <c r="Z385" s="7"/>
    </row>
    <row r="386">
      <c r="D386" s="7"/>
      <c r="H386" s="7"/>
      <c r="I386" s="7"/>
      <c r="Z386" s="7"/>
    </row>
    <row r="387">
      <c r="D387" s="7"/>
      <c r="H387" s="7"/>
      <c r="I387" s="7"/>
      <c r="Z387" s="7"/>
    </row>
    <row r="388">
      <c r="D388" s="7"/>
      <c r="H388" s="7"/>
      <c r="I388" s="7"/>
      <c r="Z388" s="7"/>
    </row>
    <row r="389">
      <c r="D389" s="7"/>
      <c r="H389" s="7"/>
      <c r="I389" s="7"/>
      <c r="Z389" s="7"/>
    </row>
    <row r="390">
      <c r="D390" s="7"/>
      <c r="H390" s="7"/>
      <c r="I390" s="7"/>
      <c r="Z390" s="7"/>
    </row>
    <row r="391">
      <c r="D391" s="7"/>
      <c r="H391" s="7"/>
      <c r="I391" s="7"/>
      <c r="Z391" s="7"/>
    </row>
    <row r="392">
      <c r="D392" s="7"/>
      <c r="H392" s="7"/>
      <c r="I392" s="7"/>
      <c r="Z392" s="7"/>
    </row>
    <row r="393">
      <c r="D393" s="7"/>
      <c r="H393" s="7"/>
      <c r="I393" s="7"/>
      <c r="Z393" s="7"/>
    </row>
    <row r="394">
      <c r="D394" s="7"/>
      <c r="H394" s="7"/>
      <c r="I394" s="7"/>
      <c r="Z394" s="7"/>
    </row>
    <row r="395">
      <c r="D395" s="7"/>
      <c r="H395" s="7"/>
      <c r="I395" s="7"/>
      <c r="Z395" s="7"/>
    </row>
    <row r="396">
      <c r="D396" s="7"/>
      <c r="H396" s="7"/>
      <c r="I396" s="7"/>
      <c r="Z396" s="7"/>
    </row>
    <row r="397">
      <c r="D397" s="7"/>
      <c r="H397" s="7"/>
      <c r="I397" s="7"/>
      <c r="Z397" s="7"/>
    </row>
    <row r="398">
      <c r="D398" s="7"/>
      <c r="H398" s="7"/>
      <c r="I398" s="7"/>
      <c r="Z398" s="7"/>
    </row>
    <row r="399">
      <c r="D399" s="7"/>
      <c r="H399" s="7"/>
      <c r="I399" s="7"/>
      <c r="Z399" s="7"/>
    </row>
    <row r="400">
      <c r="D400" s="7"/>
      <c r="H400" s="7"/>
      <c r="I400" s="7"/>
      <c r="Z400" s="7"/>
    </row>
    <row r="401">
      <c r="D401" s="7"/>
      <c r="H401" s="7"/>
      <c r="I401" s="7"/>
      <c r="Z401" s="7"/>
    </row>
    <row r="402">
      <c r="D402" s="7"/>
      <c r="H402" s="7"/>
      <c r="I402" s="7"/>
      <c r="Z402" s="7"/>
    </row>
    <row r="403">
      <c r="D403" s="7"/>
      <c r="H403" s="7"/>
      <c r="I403" s="7"/>
      <c r="Z403" s="7"/>
    </row>
    <row r="404">
      <c r="D404" s="7"/>
      <c r="H404" s="7"/>
      <c r="I404" s="7"/>
      <c r="Z404" s="7"/>
    </row>
    <row r="405">
      <c r="D405" s="7"/>
      <c r="H405" s="7"/>
      <c r="I405" s="7"/>
      <c r="Z405" s="7"/>
    </row>
    <row r="406">
      <c r="D406" s="7"/>
      <c r="H406" s="7"/>
      <c r="I406" s="7"/>
      <c r="Z406" s="7"/>
    </row>
    <row r="407">
      <c r="D407" s="7"/>
      <c r="H407" s="7"/>
      <c r="I407" s="7"/>
      <c r="Z407" s="7"/>
    </row>
    <row r="408">
      <c r="D408" s="7"/>
      <c r="H408" s="7"/>
      <c r="I408" s="7"/>
      <c r="Z408" s="7"/>
    </row>
    <row r="409">
      <c r="D409" s="7"/>
      <c r="H409" s="7"/>
      <c r="I409" s="7"/>
      <c r="Z409" s="7"/>
    </row>
    <row r="410">
      <c r="D410" s="7"/>
      <c r="H410" s="7"/>
      <c r="I410" s="7"/>
      <c r="Z410" s="7"/>
    </row>
    <row r="411">
      <c r="D411" s="7"/>
      <c r="H411" s="7"/>
      <c r="I411" s="7"/>
      <c r="Z411" s="7"/>
    </row>
    <row r="412">
      <c r="D412" s="7"/>
      <c r="H412" s="7"/>
      <c r="I412" s="7"/>
      <c r="Z412" s="7"/>
    </row>
    <row r="413">
      <c r="D413" s="7"/>
      <c r="H413" s="7"/>
      <c r="I413" s="7"/>
      <c r="Z413" s="7"/>
    </row>
    <row r="414">
      <c r="D414" s="7"/>
      <c r="H414" s="7"/>
      <c r="I414" s="7"/>
      <c r="Z414" s="7"/>
    </row>
    <row r="415">
      <c r="D415" s="7"/>
      <c r="H415" s="7"/>
      <c r="I415" s="7"/>
      <c r="Z415" s="7"/>
    </row>
    <row r="416">
      <c r="D416" s="7"/>
      <c r="H416" s="7"/>
      <c r="I416" s="7"/>
      <c r="Z416" s="7"/>
    </row>
    <row r="417">
      <c r="D417" s="7"/>
      <c r="H417" s="7"/>
      <c r="I417" s="7"/>
      <c r="Z417" s="7"/>
    </row>
    <row r="418">
      <c r="D418" s="7"/>
      <c r="H418" s="7"/>
      <c r="I418" s="7"/>
      <c r="Z418" s="7"/>
    </row>
    <row r="419">
      <c r="D419" s="7"/>
      <c r="H419" s="7"/>
      <c r="I419" s="7"/>
      <c r="Z419" s="7"/>
    </row>
    <row r="420">
      <c r="D420" s="7"/>
      <c r="H420" s="7"/>
      <c r="I420" s="7"/>
      <c r="Z420" s="7"/>
    </row>
    <row r="421">
      <c r="D421" s="7"/>
      <c r="H421" s="7"/>
      <c r="I421" s="7"/>
      <c r="Z421" s="7"/>
    </row>
    <row r="422">
      <c r="D422" s="7"/>
      <c r="H422" s="7"/>
      <c r="I422" s="7"/>
      <c r="Z422" s="7"/>
    </row>
    <row r="423">
      <c r="D423" s="7"/>
      <c r="H423" s="7"/>
      <c r="I423" s="7"/>
      <c r="Z423" s="7"/>
    </row>
    <row r="424">
      <c r="D424" s="7"/>
      <c r="H424" s="7"/>
      <c r="I424" s="7"/>
      <c r="Z424" s="7"/>
    </row>
    <row r="425">
      <c r="D425" s="7"/>
      <c r="H425" s="7"/>
      <c r="I425" s="7"/>
      <c r="Z425" s="7"/>
    </row>
    <row r="426">
      <c r="D426" s="7"/>
      <c r="H426" s="7"/>
      <c r="I426" s="7"/>
      <c r="Z426" s="7"/>
    </row>
    <row r="427">
      <c r="D427" s="7"/>
      <c r="H427" s="7"/>
      <c r="I427" s="7"/>
      <c r="Z427" s="7"/>
    </row>
    <row r="428">
      <c r="D428" s="7"/>
      <c r="H428" s="7"/>
      <c r="I428" s="7"/>
      <c r="Z428" s="7"/>
    </row>
    <row r="429">
      <c r="D429" s="7"/>
      <c r="H429" s="7"/>
      <c r="I429" s="7"/>
      <c r="Z429" s="7"/>
    </row>
    <row r="430">
      <c r="D430" s="7"/>
      <c r="H430" s="7"/>
      <c r="I430" s="7"/>
      <c r="Z430" s="7"/>
    </row>
    <row r="431">
      <c r="D431" s="7"/>
      <c r="H431" s="7"/>
      <c r="I431" s="7"/>
      <c r="Z431" s="7"/>
    </row>
    <row r="432">
      <c r="D432" s="7"/>
      <c r="H432" s="7"/>
      <c r="I432" s="7"/>
      <c r="Z432" s="7"/>
    </row>
    <row r="433">
      <c r="D433" s="7"/>
      <c r="H433" s="7"/>
      <c r="I433" s="7"/>
      <c r="Z433" s="7"/>
    </row>
    <row r="434">
      <c r="D434" s="7"/>
      <c r="H434" s="7"/>
      <c r="I434" s="7"/>
      <c r="Z434" s="7"/>
    </row>
    <row r="435">
      <c r="D435" s="7"/>
      <c r="H435" s="7"/>
      <c r="I435" s="7"/>
      <c r="Z435" s="7"/>
    </row>
    <row r="436">
      <c r="D436" s="7"/>
      <c r="H436" s="7"/>
      <c r="I436" s="7"/>
      <c r="Z436" s="7"/>
    </row>
    <row r="437">
      <c r="D437" s="7"/>
      <c r="H437" s="7"/>
      <c r="I437" s="7"/>
      <c r="Z437" s="7"/>
    </row>
    <row r="438">
      <c r="D438" s="7"/>
      <c r="H438" s="7"/>
      <c r="I438" s="7"/>
      <c r="Z438" s="7"/>
    </row>
    <row r="439">
      <c r="D439" s="7"/>
      <c r="H439" s="7"/>
      <c r="I439" s="7"/>
      <c r="Z439" s="7"/>
    </row>
    <row r="440">
      <c r="D440" s="7"/>
      <c r="H440" s="7"/>
      <c r="I440" s="7"/>
      <c r="Z440" s="7"/>
    </row>
    <row r="441">
      <c r="D441" s="7"/>
      <c r="H441" s="7"/>
      <c r="I441" s="7"/>
      <c r="Z441" s="7"/>
    </row>
    <row r="442">
      <c r="D442" s="7"/>
      <c r="H442" s="7"/>
      <c r="I442" s="7"/>
      <c r="Z442" s="7"/>
    </row>
    <row r="443">
      <c r="D443" s="7"/>
      <c r="H443" s="7"/>
      <c r="I443" s="7"/>
      <c r="Z443" s="7"/>
    </row>
    <row r="444">
      <c r="D444" s="7"/>
      <c r="H444" s="7"/>
      <c r="I444" s="7"/>
      <c r="Z444" s="7"/>
    </row>
    <row r="445">
      <c r="D445" s="7"/>
      <c r="H445" s="7"/>
      <c r="I445" s="7"/>
      <c r="Z445" s="7"/>
    </row>
    <row r="446">
      <c r="D446" s="7"/>
      <c r="H446" s="7"/>
      <c r="I446" s="7"/>
      <c r="Z446" s="7"/>
    </row>
    <row r="447">
      <c r="D447" s="7"/>
      <c r="H447" s="7"/>
      <c r="I447" s="7"/>
      <c r="Z447" s="7"/>
    </row>
    <row r="448">
      <c r="D448" s="7"/>
      <c r="H448" s="7"/>
      <c r="I448" s="7"/>
      <c r="Z448" s="7"/>
    </row>
    <row r="449">
      <c r="D449" s="7"/>
      <c r="H449" s="7"/>
      <c r="I449" s="7"/>
      <c r="Z449" s="7"/>
    </row>
    <row r="450">
      <c r="D450" s="7"/>
      <c r="H450" s="7"/>
      <c r="I450" s="7"/>
      <c r="Z450" s="7"/>
    </row>
    <row r="451">
      <c r="D451" s="7"/>
      <c r="H451" s="7"/>
      <c r="I451" s="7"/>
      <c r="Z451" s="7"/>
    </row>
    <row r="452">
      <c r="D452" s="7"/>
      <c r="H452" s="7"/>
      <c r="I452" s="7"/>
      <c r="Z452" s="7"/>
    </row>
    <row r="453">
      <c r="D453" s="7"/>
      <c r="H453" s="7"/>
      <c r="I453" s="7"/>
      <c r="Z453" s="7"/>
    </row>
    <row r="454">
      <c r="D454" s="7"/>
      <c r="H454" s="7"/>
      <c r="I454" s="7"/>
      <c r="Z454" s="7"/>
    </row>
    <row r="455">
      <c r="D455" s="7"/>
      <c r="H455" s="7"/>
      <c r="I455" s="7"/>
      <c r="Z455" s="7"/>
    </row>
    <row r="456">
      <c r="D456" s="7"/>
      <c r="H456" s="7"/>
      <c r="I456" s="7"/>
      <c r="Z456" s="7"/>
    </row>
    <row r="457">
      <c r="D457" s="7"/>
      <c r="H457" s="7"/>
      <c r="I457" s="7"/>
      <c r="Z457" s="7"/>
    </row>
    <row r="458">
      <c r="D458" s="7"/>
      <c r="H458" s="7"/>
      <c r="I458" s="7"/>
      <c r="Z458" s="7"/>
    </row>
    <row r="459">
      <c r="D459" s="7"/>
      <c r="H459" s="7"/>
      <c r="I459" s="7"/>
      <c r="Z459" s="7"/>
    </row>
    <row r="460">
      <c r="D460" s="7"/>
      <c r="H460" s="7"/>
      <c r="I460" s="7"/>
      <c r="Z460" s="7"/>
    </row>
    <row r="461">
      <c r="D461" s="7"/>
      <c r="H461" s="7"/>
      <c r="I461" s="7"/>
      <c r="Z461" s="7"/>
    </row>
    <row r="462">
      <c r="D462" s="7"/>
      <c r="H462" s="7"/>
      <c r="I462" s="7"/>
      <c r="Z462" s="7"/>
    </row>
    <row r="463">
      <c r="D463" s="7"/>
      <c r="H463" s="7"/>
      <c r="I463" s="7"/>
      <c r="Z463" s="7"/>
    </row>
    <row r="464">
      <c r="D464" s="7"/>
      <c r="H464" s="7"/>
      <c r="I464" s="7"/>
      <c r="Z464" s="7"/>
    </row>
    <row r="465">
      <c r="D465" s="7"/>
      <c r="H465" s="7"/>
      <c r="I465" s="7"/>
      <c r="Z465" s="7"/>
    </row>
    <row r="466">
      <c r="D466" s="7"/>
      <c r="H466" s="7"/>
      <c r="I466" s="7"/>
      <c r="Z466" s="7"/>
    </row>
    <row r="467">
      <c r="D467" s="7"/>
      <c r="H467" s="7"/>
      <c r="I467" s="7"/>
      <c r="Z467" s="7"/>
    </row>
    <row r="468">
      <c r="D468" s="7"/>
      <c r="H468" s="7"/>
      <c r="I468" s="7"/>
      <c r="Z468" s="7"/>
    </row>
    <row r="469">
      <c r="D469" s="7"/>
      <c r="H469" s="7"/>
      <c r="I469" s="7"/>
      <c r="Z469" s="7"/>
    </row>
    <row r="470">
      <c r="D470" s="7"/>
      <c r="H470" s="7"/>
      <c r="I470" s="7"/>
      <c r="Z470" s="7"/>
    </row>
    <row r="471">
      <c r="D471" s="7"/>
      <c r="H471" s="7"/>
      <c r="I471" s="7"/>
      <c r="Z471" s="7"/>
    </row>
    <row r="472">
      <c r="D472" s="7"/>
      <c r="H472" s="7"/>
      <c r="I472" s="7"/>
      <c r="Z472" s="7"/>
    </row>
    <row r="473">
      <c r="D473" s="7"/>
      <c r="H473" s="7"/>
      <c r="I473" s="7"/>
      <c r="Z473" s="7"/>
    </row>
    <row r="474">
      <c r="D474" s="7"/>
      <c r="H474" s="7"/>
      <c r="I474" s="7"/>
      <c r="Z474" s="7"/>
    </row>
    <row r="475">
      <c r="D475" s="7"/>
      <c r="H475" s="7"/>
      <c r="I475" s="7"/>
      <c r="Z475" s="7"/>
    </row>
    <row r="476">
      <c r="D476" s="7"/>
      <c r="H476" s="7"/>
      <c r="I476" s="7"/>
      <c r="Z476" s="7"/>
    </row>
    <row r="477">
      <c r="D477" s="7"/>
      <c r="H477" s="7"/>
      <c r="I477" s="7"/>
      <c r="Z477" s="7"/>
    </row>
    <row r="478">
      <c r="D478" s="7"/>
      <c r="H478" s="7"/>
      <c r="I478" s="7"/>
      <c r="Z478" s="7"/>
    </row>
    <row r="479">
      <c r="D479" s="7"/>
      <c r="H479" s="7"/>
      <c r="I479" s="7"/>
      <c r="Z479" s="7"/>
    </row>
    <row r="480">
      <c r="D480" s="7"/>
      <c r="H480" s="7"/>
      <c r="I480" s="7"/>
      <c r="Z480" s="7"/>
    </row>
    <row r="481">
      <c r="D481" s="7"/>
      <c r="H481" s="7"/>
      <c r="I481" s="7"/>
      <c r="Z481" s="7"/>
    </row>
    <row r="482">
      <c r="D482" s="7"/>
      <c r="H482" s="7"/>
      <c r="I482" s="7"/>
      <c r="Z482" s="7"/>
    </row>
    <row r="483">
      <c r="D483" s="7"/>
      <c r="H483" s="7"/>
      <c r="I483" s="7"/>
      <c r="Z483" s="7"/>
    </row>
    <row r="484">
      <c r="D484" s="7"/>
      <c r="H484" s="7"/>
      <c r="I484" s="7"/>
      <c r="Z484" s="7"/>
    </row>
    <row r="485">
      <c r="D485" s="7"/>
      <c r="H485" s="7"/>
      <c r="I485" s="7"/>
      <c r="Z485" s="7"/>
    </row>
    <row r="486">
      <c r="D486" s="7"/>
      <c r="H486" s="7"/>
      <c r="I486" s="7"/>
      <c r="Z486" s="7"/>
    </row>
    <row r="487">
      <c r="D487" s="7"/>
      <c r="H487" s="7"/>
      <c r="I487" s="7"/>
      <c r="Z487" s="7"/>
    </row>
    <row r="488">
      <c r="D488" s="7"/>
      <c r="H488" s="7"/>
      <c r="I488" s="7"/>
      <c r="Z488" s="7"/>
    </row>
    <row r="489">
      <c r="D489" s="7"/>
      <c r="H489" s="7"/>
      <c r="I489" s="7"/>
      <c r="Z489" s="7"/>
    </row>
    <row r="490">
      <c r="D490" s="7"/>
      <c r="H490" s="7"/>
      <c r="I490" s="7"/>
      <c r="Z490" s="7"/>
    </row>
    <row r="491">
      <c r="D491" s="7"/>
      <c r="H491" s="7"/>
      <c r="I491" s="7"/>
      <c r="Z491" s="7"/>
    </row>
    <row r="492">
      <c r="D492" s="7"/>
      <c r="H492" s="7"/>
      <c r="I492" s="7"/>
      <c r="Z492" s="7"/>
    </row>
    <row r="493">
      <c r="D493" s="7"/>
      <c r="H493" s="7"/>
      <c r="I493" s="7"/>
      <c r="Z493" s="7"/>
    </row>
    <row r="494">
      <c r="D494" s="7"/>
      <c r="H494" s="7"/>
      <c r="I494" s="7"/>
      <c r="Z494" s="7"/>
    </row>
    <row r="495">
      <c r="D495" s="7"/>
      <c r="H495" s="7"/>
      <c r="I495" s="7"/>
      <c r="Z495" s="7"/>
    </row>
    <row r="496">
      <c r="D496" s="7"/>
      <c r="H496" s="7"/>
      <c r="I496" s="7"/>
      <c r="Z496" s="7"/>
    </row>
    <row r="497">
      <c r="D497" s="7"/>
      <c r="H497" s="7"/>
      <c r="I497" s="7"/>
      <c r="Z497" s="7"/>
    </row>
    <row r="498">
      <c r="D498" s="7"/>
      <c r="H498" s="7"/>
      <c r="I498" s="7"/>
      <c r="Z498" s="7"/>
    </row>
    <row r="499">
      <c r="D499" s="7"/>
      <c r="H499" s="7"/>
      <c r="I499" s="7"/>
      <c r="Z499" s="7"/>
    </row>
    <row r="500">
      <c r="D500" s="7"/>
      <c r="H500" s="7"/>
      <c r="I500" s="7"/>
      <c r="Z500" s="7"/>
    </row>
    <row r="501">
      <c r="D501" s="7"/>
      <c r="H501" s="7"/>
      <c r="I501" s="7"/>
      <c r="Z501" s="7"/>
    </row>
    <row r="502">
      <c r="D502" s="7"/>
      <c r="H502" s="7"/>
      <c r="I502" s="7"/>
      <c r="Z502" s="7"/>
    </row>
    <row r="503">
      <c r="D503" s="7"/>
      <c r="H503" s="7"/>
      <c r="I503" s="7"/>
      <c r="Z503" s="7"/>
    </row>
    <row r="504">
      <c r="D504" s="7"/>
      <c r="H504" s="7"/>
      <c r="I504" s="7"/>
      <c r="Z504" s="7"/>
    </row>
    <row r="505">
      <c r="D505" s="7"/>
      <c r="H505" s="7"/>
      <c r="I505" s="7"/>
      <c r="Z505" s="7"/>
    </row>
    <row r="506">
      <c r="D506" s="7"/>
      <c r="H506" s="7"/>
      <c r="I506" s="7"/>
      <c r="Z506" s="7"/>
    </row>
    <row r="507">
      <c r="D507" s="7"/>
      <c r="H507" s="7"/>
      <c r="I507" s="7"/>
      <c r="Z507" s="7"/>
    </row>
    <row r="508">
      <c r="D508" s="7"/>
      <c r="H508" s="7"/>
      <c r="I508" s="7"/>
      <c r="Z508" s="7"/>
    </row>
    <row r="509">
      <c r="D509" s="7"/>
      <c r="H509" s="7"/>
      <c r="I509" s="7"/>
      <c r="Z509" s="7"/>
    </row>
    <row r="510">
      <c r="D510" s="7"/>
      <c r="H510" s="7"/>
      <c r="I510" s="7"/>
      <c r="Z510" s="7"/>
    </row>
    <row r="511">
      <c r="D511" s="7"/>
      <c r="H511" s="7"/>
      <c r="I511" s="7"/>
      <c r="Z511" s="7"/>
    </row>
    <row r="512">
      <c r="D512" s="7"/>
      <c r="H512" s="7"/>
      <c r="I512" s="7"/>
      <c r="Z512" s="7"/>
    </row>
    <row r="513">
      <c r="D513" s="7"/>
      <c r="H513" s="7"/>
      <c r="I513" s="7"/>
      <c r="Z513" s="7"/>
    </row>
    <row r="514">
      <c r="D514" s="7"/>
      <c r="H514" s="7"/>
      <c r="I514" s="7"/>
      <c r="Z514" s="7"/>
    </row>
    <row r="515">
      <c r="D515" s="7"/>
      <c r="H515" s="7"/>
      <c r="I515" s="7"/>
      <c r="Z515" s="7"/>
    </row>
    <row r="516">
      <c r="D516" s="7"/>
      <c r="H516" s="7"/>
      <c r="I516" s="7"/>
      <c r="Z516" s="7"/>
    </row>
    <row r="517">
      <c r="D517" s="7"/>
      <c r="H517" s="7"/>
      <c r="I517" s="7"/>
      <c r="Z517" s="7"/>
    </row>
    <row r="518">
      <c r="D518" s="7"/>
      <c r="H518" s="7"/>
      <c r="I518" s="7"/>
      <c r="Z518" s="7"/>
    </row>
    <row r="519">
      <c r="D519" s="7"/>
      <c r="H519" s="7"/>
      <c r="I519" s="7"/>
      <c r="Z519" s="7"/>
    </row>
    <row r="520">
      <c r="D520" s="7"/>
      <c r="H520" s="7"/>
      <c r="I520" s="7"/>
      <c r="Z520" s="7"/>
    </row>
    <row r="521">
      <c r="D521" s="7"/>
      <c r="H521" s="7"/>
      <c r="I521" s="7"/>
      <c r="Z521" s="7"/>
    </row>
    <row r="522">
      <c r="D522" s="7"/>
      <c r="H522" s="7"/>
      <c r="I522" s="7"/>
      <c r="Z522" s="7"/>
    </row>
    <row r="523">
      <c r="D523" s="7"/>
      <c r="H523" s="7"/>
      <c r="I523" s="7"/>
      <c r="Z523" s="7"/>
    </row>
    <row r="524">
      <c r="D524" s="7"/>
      <c r="H524" s="7"/>
      <c r="I524" s="7"/>
      <c r="Z524" s="7"/>
    </row>
    <row r="525">
      <c r="D525" s="7"/>
      <c r="H525" s="7"/>
      <c r="I525" s="7"/>
      <c r="Z525" s="7"/>
    </row>
    <row r="526">
      <c r="D526" s="7"/>
      <c r="H526" s="7"/>
      <c r="I526" s="7"/>
      <c r="Z526" s="7"/>
    </row>
    <row r="527">
      <c r="D527" s="7"/>
      <c r="H527" s="7"/>
      <c r="I527" s="7"/>
      <c r="Z527" s="7"/>
    </row>
    <row r="528">
      <c r="D528" s="7"/>
      <c r="H528" s="7"/>
      <c r="I528" s="7"/>
      <c r="Z528" s="7"/>
    </row>
    <row r="529">
      <c r="D529" s="7"/>
      <c r="H529" s="7"/>
      <c r="I529" s="7"/>
      <c r="Z529" s="7"/>
    </row>
    <row r="530">
      <c r="D530" s="7"/>
      <c r="H530" s="7"/>
      <c r="I530" s="7"/>
      <c r="Z530" s="7"/>
    </row>
    <row r="531">
      <c r="D531" s="7"/>
      <c r="H531" s="7"/>
      <c r="I531" s="7"/>
      <c r="Z531" s="7"/>
    </row>
    <row r="532">
      <c r="D532" s="7"/>
      <c r="H532" s="7"/>
      <c r="I532" s="7"/>
      <c r="Z532" s="7"/>
    </row>
    <row r="533">
      <c r="D533" s="7"/>
      <c r="H533" s="7"/>
      <c r="I533" s="7"/>
      <c r="Z533" s="7"/>
    </row>
    <row r="534">
      <c r="D534" s="7"/>
      <c r="H534" s="7"/>
      <c r="I534" s="7"/>
      <c r="Z534" s="7"/>
    </row>
    <row r="535">
      <c r="D535" s="7"/>
      <c r="H535" s="7"/>
      <c r="I535" s="7"/>
      <c r="Z535" s="7"/>
    </row>
    <row r="536">
      <c r="D536" s="7"/>
      <c r="H536" s="7"/>
      <c r="I536" s="7"/>
      <c r="Z536" s="7"/>
    </row>
    <row r="537">
      <c r="D537" s="7"/>
      <c r="H537" s="7"/>
      <c r="I537" s="7"/>
      <c r="Z537" s="7"/>
    </row>
    <row r="538">
      <c r="D538" s="7"/>
      <c r="H538" s="7"/>
      <c r="I538" s="7"/>
      <c r="Z538" s="7"/>
    </row>
    <row r="539">
      <c r="D539" s="7"/>
      <c r="H539" s="7"/>
      <c r="I539" s="7"/>
      <c r="Z539" s="7"/>
    </row>
    <row r="540">
      <c r="D540" s="7"/>
      <c r="H540" s="7"/>
      <c r="I540" s="7"/>
      <c r="Z540" s="7"/>
    </row>
    <row r="541">
      <c r="D541" s="7"/>
      <c r="H541" s="7"/>
      <c r="I541" s="7"/>
      <c r="Z541" s="7"/>
    </row>
    <row r="542">
      <c r="D542" s="7"/>
      <c r="H542" s="7"/>
      <c r="I542" s="7"/>
      <c r="Z542" s="7"/>
    </row>
    <row r="543">
      <c r="D543" s="7"/>
      <c r="H543" s="7"/>
      <c r="I543" s="7"/>
      <c r="Z543" s="7"/>
    </row>
    <row r="544">
      <c r="D544" s="7"/>
      <c r="H544" s="7"/>
      <c r="I544" s="7"/>
      <c r="Z544" s="7"/>
    </row>
    <row r="545">
      <c r="D545" s="7"/>
      <c r="H545" s="7"/>
      <c r="I545" s="7"/>
      <c r="Z545" s="7"/>
    </row>
    <row r="546">
      <c r="D546" s="7"/>
      <c r="H546" s="7"/>
      <c r="I546" s="7"/>
      <c r="Z546" s="7"/>
    </row>
    <row r="547">
      <c r="D547" s="7"/>
      <c r="H547" s="7"/>
      <c r="I547" s="7"/>
      <c r="Z547" s="7"/>
    </row>
    <row r="548">
      <c r="D548" s="7"/>
      <c r="H548" s="7"/>
      <c r="I548" s="7"/>
      <c r="Z548" s="7"/>
    </row>
    <row r="549">
      <c r="D549" s="7"/>
      <c r="H549" s="7"/>
      <c r="I549" s="7"/>
      <c r="Z549" s="7"/>
    </row>
    <row r="550">
      <c r="D550" s="7"/>
      <c r="H550" s="7"/>
      <c r="I550" s="7"/>
      <c r="Z550" s="7"/>
    </row>
    <row r="551">
      <c r="D551" s="7"/>
      <c r="H551" s="7"/>
      <c r="I551" s="7"/>
      <c r="Z551" s="7"/>
    </row>
    <row r="552">
      <c r="D552" s="7"/>
      <c r="H552" s="7"/>
      <c r="I552" s="7"/>
      <c r="Z552" s="7"/>
    </row>
    <row r="553">
      <c r="D553" s="7"/>
      <c r="H553" s="7"/>
      <c r="I553" s="7"/>
      <c r="Z553" s="7"/>
    </row>
    <row r="554">
      <c r="D554" s="7"/>
      <c r="H554" s="7"/>
      <c r="I554" s="7"/>
      <c r="Z554" s="7"/>
    </row>
    <row r="555">
      <c r="D555" s="7"/>
      <c r="H555" s="7"/>
      <c r="I555" s="7"/>
      <c r="Z555" s="7"/>
    </row>
    <row r="556">
      <c r="D556" s="7"/>
      <c r="H556" s="7"/>
      <c r="I556" s="7"/>
      <c r="Z556" s="7"/>
    </row>
    <row r="557">
      <c r="D557" s="7"/>
      <c r="H557" s="7"/>
      <c r="I557" s="7"/>
      <c r="Z557" s="7"/>
    </row>
    <row r="558">
      <c r="D558" s="7"/>
      <c r="H558" s="7"/>
      <c r="I558" s="7"/>
      <c r="Z558" s="7"/>
    </row>
    <row r="559">
      <c r="D559" s="7"/>
      <c r="H559" s="7"/>
      <c r="I559" s="7"/>
      <c r="Z559" s="7"/>
    </row>
    <row r="560">
      <c r="D560" s="7"/>
      <c r="H560" s="7"/>
      <c r="I560" s="7"/>
      <c r="Z560" s="7"/>
    </row>
    <row r="561">
      <c r="D561" s="7"/>
      <c r="H561" s="7"/>
      <c r="I561" s="7"/>
      <c r="Z561" s="7"/>
    </row>
    <row r="562">
      <c r="D562" s="7"/>
      <c r="H562" s="7"/>
      <c r="I562" s="7"/>
      <c r="Z562" s="7"/>
    </row>
    <row r="563">
      <c r="D563" s="7"/>
      <c r="H563" s="7"/>
      <c r="I563" s="7"/>
      <c r="Z563" s="7"/>
    </row>
    <row r="564">
      <c r="D564" s="7"/>
      <c r="H564" s="7"/>
      <c r="I564" s="7"/>
      <c r="Z564" s="7"/>
    </row>
    <row r="565">
      <c r="D565" s="7"/>
      <c r="H565" s="7"/>
      <c r="I565" s="7"/>
      <c r="Z565" s="7"/>
    </row>
    <row r="566">
      <c r="D566" s="7"/>
      <c r="H566" s="7"/>
      <c r="I566" s="7"/>
      <c r="Z566" s="7"/>
    </row>
    <row r="567">
      <c r="D567" s="7"/>
      <c r="H567" s="7"/>
      <c r="I567" s="7"/>
      <c r="Z567" s="7"/>
    </row>
    <row r="568">
      <c r="D568" s="7"/>
      <c r="H568" s="7"/>
      <c r="I568" s="7"/>
      <c r="Z568" s="7"/>
    </row>
    <row r="569">
      <c r="D569" s="7"/>
      <c r="H569" s="7"/>
      <c r="I569" s="7"/>
      <c r="Z569" s="7"/>
    </row>
    <row r="570">
      <c r="D570" s="7"/>
      <c r="H570" s="7"/>
      <c r="I570" s="7"/>
      <c r="Z570" s="7"/>
    </row>
    <row r="571">
      <c r="D571" s="7"/>
      <c r="H571" s="7"/>
      <c r="I571" s="7"/>
      <c r="Z571" s="7"/>
    </row>
    <row r="572">
      <c r="D572" s="7"/>
      <c r="H572" s="7"/>
      <c r="I572" s="7"/>
      <c r="Z572" s="7"/>
    </row>
    <row r="573">
      <c r="D573" s="7"/>
      <c r="H573" s="7"/>
      <c r="I573" s="7"/>
      <c r="Z573" s="7"/>
    </row>
    <row r="574">
      <c r="D574" s="7"/>
      <c r="H574" s="7"/>
      <c r="I574" s="7"/>
      <c r="Z574" s="7"/>
    </row>
    <row r="575">
      <c r="D575" s="7"/>
      <c r="H575" s="7"/>
      <c r="I575" s="7"/>
      <c r="Z575" s="7"/>
    </row>
    <row r="576">
      <c r="D576" s="7"/>
      <c r="H576" s="7"/>
      <c r="I576" s="7"/>
      <c r="Z576" s="7"/>
    </row>
    <row r="577">
      <c r="D577" s="7"/>
      <c r="H577" s="7"/>
      <c r="I577" s="7"/>
      <c r="Z577" s="7"/>
    </row>
    <row r="578">
      <c r="D578" s="7"/>
      <c r="H578" s="7"/>
      <c r="I578" s="7"/>
      <c r="Z578" s="7"/>
    </row>
    <row r="579">
      <c r="D579" s="7"/>
      <c r="H579" s="7"/>
      <c r="I579" s="7"/>
      <c r="Z579" s="7"/>
    </row>
    <row r="580">
      <c r="D580" s="7"/>
      <c r="H580" s="7"/>
      <c r="I580" s="7"/>
      <c r="Z580" s="7"/>
    </row>
    <row r="581">
      <c r="D581" s="7"/>
      <c r="H581" s="7"/>
      <c r="I581" s="7"/>
      <c r="Z581" s="7"/>
    </row>
    <row r="582">
      <c r="D582" s="7"/>
      <c r="H582" s="7"/>
      <c r="I582" s="7"/>
      <c r="Z582" s="7"/>
    </row>
    <row r="583">
      <c r="D583" s="7"/>
      <c r="H583" s="7"/>
      <c r="I583" s="7"/>
      <c r="Z583" s="7"/>
    </row>
    <row r="584">
      <c r="D584" s="7"/>
      <c r="H584" s="7"/>
      <c r="I584" s="7"/>
      <c r="Z584" s="7"/>
    </row>
    <row r="585">
      <c r="D585" s="7"/>
      <c r="H585" s="7"/>
      <c r="I585" s="7"/>
      <c r="Z585" s="7"/>
    </row>
    <row r="586">
      <c r="D586" s="7"/>
      <c r="H586" s="7"/>
      <c r="I586" s="7"/>
      <c r="Z586" s="7"/>
    </row>
    <row r="587">
      <c r="D587" s="7"/>
      <c r="H587" s="7"/>
      <c r="I587" s="7"/>
      <c r="Z587" s="7"/>
    </row>
    <row r="588">
      <c r="D588" s="7"/>
      <c r="H588" s="7"/>
      <c r="I588" s="7"/>
      <c r="Z588" s="7"/>
    </row>
    <row r="589">
      <c r="D589" s="7"/>
      <c r="H589" s="7"/>
      <c r="I589" s="7"/>
      <c r="Z589" s="7"/>
    </row>
    <row r="590">
      <c r="D590" s="7"/>
      <c r="H590" s="7"/>
      <c r="I590" s="7"/>
      <c r="Z590" s="7"/>
    </row>
    <row r="591">
      <c r="D591" s="7"/>
      <c r="H591" s="7"/>
      <c r="I591" s="7"/>
      <c r="Z591" s="7"/>
    </row>
    <row r="592">
      <c r="D592" s="7"/>
      <c r="H592" s="7"/>
      <c r="I592" s="7"/>
      <c r="Z592" s="7"/>
    </row>
    <row r="593">
      <c r="D593" s="7"/>
      <c r="H593" s="7"/>
      <c r="I593" s="7"/>
      <c r="Z593" s="7"/>
    </row>
    <row r="594">
      <c r="D594" s="7"/>
      <c r="H594" s="7"/>
      <c r="I594" s="7"/>
      <c r="Z594" s="7"/>
    </row>
    <row r="595">
      <c r="D595" s="7"/>
      <c r="H595" s="7"/>
      <c r="I595" s="7"/>
      <c r="Z595" s="7"/>
    </row>
    <row r="596">
      <c r="D596" s="7"/>
      <c r="H596" s="7"/>
      <c r="I596" s="7"/>
      <c r="Z596" s="7"/>
    </row>
    <row r="597">
      <c r="D597" s="7"/>
      <c r="H597" s="7"/>
      <c r="I597" s="7"/>
      <c r="Z597" s="7"/>
    </row>
    <row r="598">
      <c r="D598" s="7"/>
      <c r="H598" s="7"/>
      <c r="I598" s="7"/>
      <c r="Z598" s="7"/>
    </row>
    <row r="599">
      <c r="D599" s="7"/>
      <c r="H599" s="7"/>
      <c r="I599" s="7"/>
      <c r="Z599" s="7"/>
    </row>
    <row r="600">
      <c r="D600" s="7"/>
      <c r="H600" s="7"/>
      <c r="I600" s="7"/>
      <c r="Z600" s="7"/>
    </row>
    <row r="601">
      <c r="D601" s="7"/>
      <c r="H601" s="7"/>
      <c r="I601" s="7"/>
      <c r="Z601" s="7"/>
    </row>
    <row r="602">
      <c r="D602" s="7"/>
      <c r="H602" s="7"/>
      <c r="I602" s="7"/>
      <c r="Z602" s="7"/>
    </row>
    <row r="603">
      <c r="D603" s="7"/>
      <c r="H603" s="7"/>
      <c r="I603" s="7"/>
      <c r="Z603" s="7"/>
    </row>
    <row r="604">
      <c r="D604" s="7"/>
      <c r="H604" s="7"/>
      <c r="I604" s="7"/>
      <c r="Z604" s="7"/>
    </row>
    <row r="605">
      <c r="D605" s="7"/>
      <c r="H605" s="7"/>
      <c r="I605" s="7"/>
      <c r="Z605" s="7"/>
    </row>
    <row r="606">
      <c r="D606" s="7"/>
      <c r="H606" s="7"/>
      <c r="I606" s="7"/>
      <c r="Z606" s="7"/>
    </row>
    <row r="607">
      <c r="D607" s="7"/>
      <c r="H607" s="7"/>
      <c r="I607" s="7"/>
      <c r="Z607" s="7"/>
    </row>
    <row r="608">
      <c r="D608" s="7"/>
      <c r="H608" s="7"/>
      <c r="I608" s="7"/>
      <c r="Z608" s="7"/>
    </row>
    <row r="609">
      <c r="D609" s="7"/>
      <c r="H609" s="7"/>
      <c r="I609" s="7"/>
      <c r="Z609" s="7"/>
    </row>
    <row r="610">
      <c r="D610" s="7"/>
      <c r="H610" s="7"/>
      <c r="I610" s="7"/>
      <c r="Z610" s="7"/>
    </row>
    <row r="611">
      <c r="D611" s="7"/>
      <c r="H611" s="7"/>
      <c r="I611" s="7"/>
      <c r="Z611" s="7"/>
    </row>
    <row r="612">
      <c r="D612" s="7"/>
      <c r="H612" s="7"/>
      <c r="I612" s="7"/>
      <c r="Z612" s="7"/>
    </row>
    <row r="613">
      <c r="D613" s="7"/>
      <c r="H613" s="7"/>
      <c r="I613" s="7"/>
      <c r="Z613" s="7"/>
    </row>
    <row r="614">
      <c r="D614" s="7"/>
      <c r="H614" s="7"/>
      <c r="I614" s="7"/>
      <c r="Z614" s="7"/>
    </row>
    <row r="615">
      <c r="D615" s="7"/>
      <c r="H615" s="7"/>
      <c r="I615" s="7"/>
      <c r="Z615" s="7"/>
    </row>
    <row r="616">
      <c r="D616" s="7"/>
      <c r="H616" s="7"/>
      <c r="I616" s="7"/>
      <c r="Z616" s="7"/>
    </row>
    <row r="617">
      <c r="D617" s="7"/>
      <c r="H617" s="7"/>
      <c r="I617" s="7"/>
      <c r="Z617" s="7"/>
    </row>
    <row r="618">
      <c r="D618" s="7"/>
      <c r="H618" s="7"/>
      <c r="I618" s="7"/>
      <c r="Z618" s="7"/>
    </row>
    <row r="619">
      <c r="D619" s="7"/>
      <c r="H619" s="7"/>
      <c r="I619" s="7"/>
      <c r="Z619" s="7"/>
    </row>
    <row r="620">
      <c r="D620" s="7"/>
      <c r="H620" s="7"/>
      <c r="I620" s="7"/>
      <c r="Z620" s="7"/>
    </row>
    <row r="621">
      <c r="D621" s="7"/>
      <c r="H621" s="7"/>
      <c r="I621" s="7"/>
      <c r="Z621" s="7"/>
    </row>
    <row r="622">
      <c r="D622" s="7"/>
      <c r="H622" s="7"/>
      <c r="I622" s="7"/>
      <c r="Z622" s="7"/>
    </row>
    <row r="623">
      <c r="D623" s="7"/>
      <c r="H623" s="7"/>
      <c r="I623" s="7"/>
      <c r="Z623" s="7"/>
    </row>
    <row r="624">
      <c r="D624" s="7"/>
      <c r="H624" s="7"/>
      <c r="I624" s="7"/>
      <c r="Z624" s="7"/>
    </row>
    <row r="625">
      <c r="D625" s="7"/>
      <c r="H625" s="7"/>
      <c r="I625" s="7"/>
      <c r="Z625" s="7"/>
    </row>
    <row r="626">
      <c r="D626" s="7"/>
      <c r="H626" s="7"/>
      <c r="I626" s="7"/>
      <c r="Z626" s="7"/>
    </row>
    <row r="627">
      <c r="D627" s="7"/>
      <c r="H627" s="7"/>
      <c r="I627" s="7"/>
      <c r="Z627" s="7"/>
    </row>
    <row r="628">
      <c r="D628" s="7"/>
      <c r="H628" s="7"/>
      <c r="I628" s="7"/>
      <c r="Z628" s="7"/>
    </row>
    <row r="629">
      <c r="D629" s="7"/>
      <c r="H629" s="7"/>
      <c r="I629" s="7"/>
      <c r="Z629" s="7"/>
    </row>
    <row r="630">
      <c r="D630" s="7"/>
      <c r="H630" s="7"/>
      <c r="I630" s="7"/>
      <c r="Z630" s="7"/>
    </row>
    <row r="631">
      <c r="D631" s="7"/>
      <c r="H631" s="7"/>
      <c r="I631" s="7"/>
      <c r="Z631" s="7"/>
    </row>
    <row r="632">
      <c r="D632" s="7"/>
      <c r="H632" s="7"/>
      <c r="I632" s="7"/>
      <c r="Z632" s="7"/>
    </row>
    <row r="633">
      <c r="D633" s="7"/>
      <c r="H633" s="7"/>
      <c r="I633" s="7"/>
      <c r="Z633" s="7"/>
    </row>
    <row r="634">
      <c r="D634" s="7"/>
      <c r="H634" s="7"/>
      <c r="I634" s="7"/>
      <c r="Z634" s="7"/>
    </row>
    <row r="635">
      <c r="D635" s="7"/>
      <c r="H635" s="7"/>
      <c r="I635" s="7"/>
      <c r="Z635" s="7"/>
    </row>
    <row r="636">
      <c r="D636" s="7"/>
      <c r="H636" s="7"/>
      <c r="I636" s="7"/>
      <c r="Z636" s="7"/>
    </row>
    <row r="637">
      <c r="D637" s="7"/>
      <c r="H637" s="7"/>
      <c r="I637" s="7"/>
      <c r="Z637" s="7"/>
    </row>
    <row r="638">
      <c r="D638" s="7"/>
      <c r="H638" s="7"/>
      <c r="I638" s="7"/>
      <c r="Z638" s="7"/>
    </row>
    <row r="639">
      <c r="D639" s="7"/>
      <c r="H639" s="7"/>
      <c r="I639" s="7"/>
      <c r="Z639" s="7"/>
    </row>
    <row r="640">
      <c r="D640" s="7"/>
      <c r="H640" s="7"/>
      <c r="I640" s="7"/>
      <c r="Z640" s="7"/>
    </row>
    <row r="641">
      <c r="D641" s="7"/>
      <c r="H641" s="7"/>
      <c r="I641" s="7"/>
      <c r="Z641" s="7"/>
    </row>
    <row r="642">
      <c r="D642" s="7"/>
      <c r="H642" s="7"/>
      <c r="I642" s="7"/>
      <c r="Z642" s="7"/>
    </row>
    <row r="643">
      <c r="D643" s="7"/>
      <c r="H643" s="7"/>
      <c r="I643" s="7"/>
      <c r="Z643" s="7"/>
    </row>
    <row r="644">
      <c r="D644" s="7"/>
      <c r="H644" s="7"/>
      <c r="I644" s="7"/>
      <c r="Z644" s="7"/>
    </row>
    <row r="645">
      <c r="D645" s="7"/>
      <c r="H645" s="7"/>
      <c r="I645" s="7"/>
      <c r="Z645" s="7"/>
    </row>
    <row r="646">
      <c r="D646" s="7"/>
      <c r="H646" s="7"/>
      <c r="I646" s="7"/>
      <c r="Z646" s="7"/>
    </row>
    <row r="647">
      <c r="D647" s="7"/>
      <c r="H647" s="7"/>
      <c r="I647" s="7"/>
      <c r="Z647" s="7"/>
    </row>
    <row r="648">
      <c r="D648" s="7"/>
      <c r="H648" s="7"/>
      <c r="I648" s="7"/>
      <c r="Z648" s="7"/>
    </row>
    <row r="649">
      <c r="D649" s="7"/>
      <c r="H649" s="7"/>
      <c r="I649" s="7"/>
      <c r="Z649" s="7"/>
    </row>
    <row r="650">
      <c r="D650" s="7"/>
      <c r="H650" s="7"/>
      <c r="I650" s="7"/>
      <c r="Z650" s="7"/>
    </row>
    <row r="651">
      <c r="D651" s="7"/>
      <c r="H651" s="7"/>
      <c r="I651" s="7"/>
      <c r="Z651" s="7"/>
    </row>
    <row r="652">
      <c r="D652" s="7"/>
      <c r="H652" s="7"/>
      <c r="I652" s="7"/>
      <c r="Z652" s="7"/>
    </row>
    <row r="653">
      <c r="D653" s="7"/>
      <c r="H653" s="7"/>
      <c r="I653" s="7"/>
      <c r="Z653" s="7"/>
    </row>
    <row r="654">
      <c r="D654" s="7"/>
      <c r="H654" s="7"/>
      <c r="I654" s="7"/>
      <c r="Z654" s="7"/>
    </row>
    <row r="655">
      <c r="D655" s="7"/>
      <c r="H655" s="7"/>
      <c r="I655" s="7"/>
      <c r="Z655" s="7"/>
    </row>
    <row r="656">
      <c r="D656" s="7"/>
      <c r="H656" s="7"/>
      <c r="I656" s="7"/>
      <c r="Z656" s="7"/>
    </row>
    <row r="657">
      <c r="D657" s="7"/>
      <c r="H657" s="7"/>
      <c r="I657" s="7"/>
      <c r="Z657" s="7"/>
    </row>
    <row r="658">
      <c r="D658" s="7"/>
      <c r="H658" s="7"/>
      <c r="I658" s="7"/>
      <c r="Z658" s="7"/>
    </row>
    <row r="659">
      <c r="D659" s="7"/>
      <c r="H659" s="7"/>
      <c r="I659" s="7"/>
      <c r="Z659" s="7"/>
    </row>
    <row r="660">
      <c r="D660" s="7"/>
      <c r="H660" s="7"/>
      <c r="I660" s="7"/>
      <c r="Z660" s="7"/>
    </row>
    <row r="661">
      <c r="D661" s="7"/>
      <c r="H661" s="7"/>
      <c r="I661" s="7"/>
      <c r="Z661" s="7"/>
    </row>
    <row r="662">
      <c r="D662" s="7"/>
      <c r="H662" s="7"/>
      <c r="I662" s="7"/>
      <c r="Z662" s="7"/>
    </row>
    <row r="663">
      <c r="D663" s="7"/>
      <c r="H663" s="7"/>
      <c r="I663" s="7"/>
      <c r="Z663" s="7"/>
    </row>
    <row r="664">
      <c r="D664" s="7"/>
      <c r="H664" s="7"/>
      <c r="I664" s="7"/>
      <c r="Z664" s="7"/>
    </row>
    <row r="665">
      <c r="D665" s="7"/>
      <c r="H665" s="7"/>
      <c r="I665" s="7"/>
      <c r="Z665" s="7"/>
    </row>
    <row r="666">
      <c r="D666" s="7"/>
      <c r="H666" s="7"/>
      <c r="I666" s="7"/>
      <c r="Z666" s="7"/>
    </row>
    <row r="667">
      <c r="D667" s="7"/>
      <c r="H667" s="7"/>
      <c r="I667" s="7"/>
      <c r="Z667" s="7"/>
    </row>
    <row r="668">
      <c r="D668" s="7"/>
      <c r="H668" s="7"/>
      <c r="I668" s="7"/>
      <c r="Z668" s="7"/>
    </row>
    <row r="669">
      <c r="D669" s="7"/>
      <c r="H669" s="7"/>
      <c r="I669" s="7"/>
      <c r="Z669" s="7"/>
    </row>
    <row r="670">
      <c r="D670" s="7"/>
      <c r="H670" s="7"/>
      <c r="I670" s="7"/>
      <c r="Z670" s="7"/>
    </row>
    <row r="671">
      <c r="D671" s="7"/>
      <c r="H671" s="7"/>
      <c r="I671" s="7"/>
      <c r="Z671" s="7"/>
    </row>
    <row r="672">
      <c r="D672" s="7"/>
      <c r="H672" s="7"/>
      <c r="I672" s="7"/>
      <c r="Z672" s="7"/>
    </row>
    <row r="673">
      <c r="D673" s="7"/>
      <c r="H673" s="7"/>
      <c r="I673" s="7"/>
      <c r="Z673" s="7"/>
    </row>
    <row r="674">
      <c r="D674" s="7"/>
      <c r="H674" s="7"/>
      <c r="I674" s="7"/>
      <c r="Z674" s="7"/>
    </row>
    <row r="675">
      <c r="D675" s="7"/>
      <c r="H675" s="7"/>
      <c r="I675" s="7"/>
      <c r="Z675" s="7"/>
    </row>
    <row r="676">
      <c r="D676" s="7"/>
      <c r="H676" s="7"/>
      <c r="I676" s="7"/>
      <c r="Z676" s="7"/>
    </row>
    <row r="677">
      <c r="D677" s="7"/>
      <c r="H677" s="7"/>
      <c r="I677" s="7"/>
      <c r="Z677" s="7"/>
    </row>
    <row r="678">
      <c r="D678" s="7"/>
      <c r="H678" s="7"/>
      <c r="I678" s="7"/>
      <c r="Z678" s="7"/>
    </row>
    <row r="679">
      <c r="D679" s="7"/>
      <c r="H679" s="7"/>
      <c r="I679" s="7"/>
      <c r="Z679" s="7"/>
    </row>
    <row r="680">
      <c r="D680" s="7"/>
      <c r="H680" s="7"/>
      <c r="I680" s="7"/>
      <c r="Z680" s="7"/>
    </row>
    <row r="681">
      <c r="D681" s="7"/>
      <c r="H681" s="7"/>
      <c r="I681" s="7"/>
      <c r="Z681" s="7"/>
    </row>
    <row r="682">
      <c r="D682" s="7"/>
      <c r="H682" s="7"/>
      <c r="I682" s="7"/>
      <c r="Z682" s="7"/>
    </row>
    <row r="683">
      <c r="D683" s="7"/>
      <c r="H683" s="7"/>
      <c r="I683" s="7"/>
      <c r="Z683" s="7"/>
    </row>
    <row r="684">
      <c r="D684" s="7"/>
      <c r="H684" s="7"/>
      <c r="I684" s="7"/>
      <c r="Z684" s="7"/>
    </row>
    <row r="685">
      <c r="D685" s="7"/>
      <c r="H685" s="7"/>
      <c r="I685" s="7"/>
      <c r="Z685" s="7"/>
    </row>
    <row r="686">
      <c r="D686" s="7"/>
      <c r="H686" s="7"/>
      <c r="I686" s="7"/>
      <c r="Z686" s="7"/>
    </row>
    <row r="687">
      <c r="D687" s="7"/>
      <c r="H687" s="7"/>
      <c r="I687" s="7"/>
      <c r="Z687" s="7"/>
    </row>
    <row r="688">
      <c r="D688" s="7"/>
      <c r="H688" s="7"/>
      <c r="I688" s="7"/>
      <c r="Z688" s="7"/>
    </row>
    <row r="689">
      <c r="D689" s="7"/>
      <c r="H689" s="7"/>
      <c r="I689" s="7"/>
      <c r="Z689" s="7"/>
    </row>
    <row r="690">
      <c r="D690" s="7"/>
      <c r="H690" s="7"/>
      <c r="I690" s="7"/>
      <c r="Z690" s="7"/>
    </row>
    <row r="691">
      <c r="D691" s="7"/>
      <c r="H691" s="7"/>
      <c r="I691" s="7"/>
      <c r="Z691" s="7"/>
    </row>
    <row r="692">
      <c r="D692" s="7"/>
      <c r="H692" s="7"/>
      <c r="I692" s="7"/>
      <c r="Z692" s="7"/>
    </row>
    <row r="693">
      <c r="D693" s="7"/>
      <c r="H693" s="7"/>
      <c r="I693" s="7"/>
      <c r="Z693" s="7"/>
    </row>
    <row r="694">
      <c r="D694" s="7"/>
      <c r="H694" s="7"/>
      <c r="I694" s="7"/>
      <c r="Z694" s="7"/>
    </row>
    <row r="695">
      <c r="D695" s="7"/>
      <c r="H695" s="7"/>
      <c r="I695" s="7"/>
      <c r="Z695" s="7"/>
    </row>
    <row r="696">
      <c r="D696" s="7"/>
      <c r="H696" s="7"/>
      <c r="I696" s="7"/>
      <c r="Z696" s="7"/>
    </row>
    <row r="697">
      <c r="D697" s="7"/>
      <c r="H697" s="7"/>
      <c r="I697" s="7"/>
      <c r="Z697" s="7"/>
    </row>
    <row r="698">
      <c r="D698" s="7"/>
      <c r="H698" s="7"/>
      <c r="I698" s="7"/>
      <c r="Z698" s="7"/>
    </row>
    <row r="699">
      <c r="D699" s="7"/>
      <c r="H699" s="7"/>
      <c r="I699" s="7"/>
      <c r="Z699" s="7"/>
    </row>
    <row r="700">
      <c r="D700" s="7"/>
      <c r="H700" s="7"/>
      <c r="I700" s="7"/>
      <c r="Z700" s="7"/>
    </row>
    <row r="701">
      <c r="D701" s="7"/>
      <c r="H701" s="7"/>
      <c r="I701" s="7"/>
      <c r="Z701" s="7"/>
    </row>
    <row r="702">
      <c r="D702" s="7"/>
      <c r="H702" s="7"/>
      <c r="I702" s="7"/>
      <c r="Z702" s="7"/>
    </row>
    <row r="703">
      <c r="D703" s="7"/>
      <c r="H703" s="7"/>
      <c r="I703" s="7"/>
      <c r="Z703" s="7"/>
    </row>
    <row r="704">
      <c r="D704" s="7"/>
      <c r="H704" s="7"/>
      <c r="I704" s="7"/>
      <c r="Z704" s="7"/>
    </row>
    <row r="705">
      <c r="D705" s="7"/>
      <c r="H705" s="7"/>
      <c r="I705" s="7"/>
      <c r="Z705" s="7"/>
    </row>
    <row r="706">
      <c r="D706" s="7"/>
      <c r="H706" s="7"/>
      <c r="I706" s="7"/>
      <c r="Z706" s="7"/>
    </row>
    <row r="707">
      <c r="D707" s="7"/>
      <c r="H707" s="7"/>
      <c r="I707" s="7"/>
      <c r="Z707" s="7"/>
    </row>
    <row r="708">
      <c r="D708" s="7"/>
      <c r="H708" s="7"/>
      <c r="I708" s="7"/>
      <c r="Z708" s="7"/>
    </row>
    <row r="709">
      <c r="D709" s="7"/>
      <c r="H709" s="7"/>
      <c r="I709" s="7"/>
      <c r="Z709" s="7"/>
    </row>
    <row r="710">
      <c r="D710" s="7"/>
      <c r="H710" s="7"/>
      <c r="I710" s="7"/>
      <c r="Z710" s="7"/>
    </row>
    <row r="711">
      <c r="D711" s="7"/>
      <c r="H711" s="7"/>
      <c r="I711" s="7"/>
      <c r="Z711" s="7"/>
    </row>
    <row r="712">
      <c r="D712" s="7"/>
      <c r="H712" s="7"/>
      <c r="I712" s="7"/>
      <c r="Z712" s="7"/>
    </row>
    <row r="713">
      <c r="D713" s="7"/>
      <c r="H713" s="7"/>
      <c r="I713" s="7"/>
      <c r="Z713" s="7"/>
    </row>
    <row r="714">
      <c r="D714" s="7"/>
      <c r="H714" s="7"/>
      <c r="I714" s="7"/>
      <c r="Z714" s="7"/>
    </row>
    <row r="715">
      <c r="D715" s="7"/>
      <c r="H715" s="7"/>
      <c r="I715" s="7"/>
      <c r="Z715" s="7"/>
    </row>
    <row r="716">
      <c r="D716" s="7"/>
      <c r="H716" s="7"/>
      <c r="I716" s="7"/>
      <c r="Z716" s="7"/>
    </row>
    <row r="717">
      <c r="D717" s="7"/>
      <c r="H717" s="7"/>
      <c r="I717" s="7"/>
      <c r="Z717" s="7"/>
    </row>
    <row r="718">
      <c r="D718" s="7"/>
      <c r="H718" s="7"/>
      <c r="I718" s="7"/>
      <c r="Z718" s="7"/>
    </row>
    <row r="719">
      <c r="D719" s="7"/>
      <c r="H719" s="7"/>
      <c r="I719" s="7"/>
      <c r="Z719" s="7"/>
    </row>
    <row r="720">
      <c r="D720" s="7"/>
      <c r="H720" s="7"/>
      <c r="I720" s="7"/>
      <c r="Z720" s="7"/>
    </row>
    <row r="721">
      <c r="D721" s="7"/>
      <c r="H721" s="7"/>
      <c r="I721" s="7"/>
      <c r="Z721" s="7"/>
    </row>
    <row r="722">
      <c r="D722" s="7"/>
      <c r="H722" s="7"/>
      <c r="I722" s="7"/>
      <c r="Z722" s="7"/>
    </row>
    <row r="723">
      <c r="D723" s="7"/>
      <c r="H723" s="7"/>
      <c r="I723" s="7"/>
      <c r="Z723" s="7"/>
    </row>
    <row r="724">
      <c r="D724" s="7"/>
      <c r="H724" s="7"/>
      <c r="I724" s="7"/>
      <c r="Z724" s="7"/>
    </row>
    <row r="725">
      <c r="D725" s="7"/>
      <c r="H725" s="7"/>
      <c r="I725" s="7"/>
      <c r="Z725" s="7"/>
    </row>
    <row r="726">
      <c r="D726" s="7"/>
      <c r="H726" s="7"/>
      <c r="I726" s="7"/>
      <c r="Z726" s="7"/>
    </row>
    <row r="727">
      <c r="D727" s="7"/>
      <c r="H727" s="7"/>
      <c r="I727" s="7"/>
      <c r="Z727" s="7"/>
    </row>
    <row r="728">
      <c r="D728" s="7"/>
      <c r="H728" s="7"/>
      <c r="I728" s="7"/>
      <c r="Z728" s="7"/>
    </row>
    <row r="729">
      <c r="D729" s="7"/>
      <c r="H729" s="7"/>
      <c r="I729" s="7"/>
      <c r="Z729" s="7"/>
    </row>
    <row r="730">
      <c r="D730" s="7"/>
      <c r="H730" s="7"/>
      <c r="I730" s="7"/>
      <c r="Z730" s="7"/>
    </row>
    <row r="731">
      <c r="D731" s="7"/>
      <c r="H731" s="7"/>
      <c r="I731" s="7"/>
      <c r="Z731" s="7"/>
    </row>
    <row r="732">
      <c r="D732" s="7"/>
      <c r="H732" s="7"/>
      <c r="I732" s="7"/>
      <c r="Z732" s="7"/>
    </row>
    <row r="733">
      <c r="D733" s="7"/>
      <c r="H733" s="7"/>
      <c r="I733" s="7"/>
      <c r="Z733" s="7"/>
    </row>
    <row r="734">
      <c r="D734" s="7"/>
      <c r="H734" s="7"/>
      <c r="I734" s="7"/>
      <c r="Z734" s="7"/>
    </row>
    <row r="735">
      <c r="D735" s="7"/>
      <c r="H735" s="7"/>
      <c r="I735" s="7"/>
      <c r="Z735" s="7"/>
    </row>
    <row r="736">
      <c r="D736" s="7"/>
      <c r="H736" s="7"/>
      <c r="I736" s="7"/>
      <c r="Z736" s="7"/>
    </row>
    <row r="737">
      <c r="D737" s="7"/>
      <c r="H737" s="7"/>
      <c r="I737" s="7"/>
      <c r="Z737" s="7"/>
    </row>
    <row r="738">
      <c r="D738" s="7"/>
      <c r="H738" s="7"/>
      <c r="I738" s="7"/>
      <c r="Z738" s="7"/>
    </row>
    <row r="739">
      <c r="D739" s="7"/>
      <c r="H739" s="7"/>
      <c r="I739" s="7"/>
      <c r="Z739" s="7"/>
    </row>
    <row r="740">
      <c r="D740" s="7"/>
      <c r="H740" s="7"/>
      <c r="I740" s="7"/>
      <c r="Z740" s="7"/>
    </row>
    <row r="741">
      <c r="D741" s="7"/>
      <c r="H741" s="7"/>
      <c r="I741" s="7"/>
      <c r="Z741" s="7"/>
    </row>
    <row r="742">
      <c r="D742" s="7"/>
      <c r="H742" s="7"/>
      <c r="I742" s="7"/>
      <c r="Z742" s="7"/>
    </row>
    <row r="743">
      <c r="D743" s="7"/>
      <c r="H743" s="7"/>
      <c r="I743" s="7"/>
      <c r="Z743" s="7"/>
    </row>
    <row r="744">
      <c r="D744" s="7"/>
      <c r="H744" s="7"/>
      <c r="I744" s="7"/>
      <c r="Z744" s="7"/>
    </row>
    <row r="745">
      <c r="D745" s="7"/>
      <c r="H745" s="7"/>
      <c r="I745" s="7"/>
      <c r="Z745" s="7"/>
    </row>
    <row r="746">
      <c r="D746" s="7"/>
      <c r="H746" s="7"/>
      <c r="I746" s="7"/>
      <c r="Z746" s="7"/>
    </row>
    <row r="747">
      <c r="D747" s="7"/>
      <c r="H747" s="7"/>
      <c r="I747" s="7"/>
      <c r="Z747" s="7"/>
    </row>
    <row r="748">
      <c r="D748" s="7"/>
      <c r="H748" s="7"/>
      <c r="I748" s="7"/>
      <c r="Z748" s="7"/>
    </row>
    <row r="749">
      <c r="D749" s="7"/>
      <c r="H749" s="7"/>
      <c r="I749" s="7"/>
      <c r="Z749" s="7"/>
    </row>
    <row r="750">
      <c r="D750" s="7"/>
      <c r="H750" s="7"/>
      <c r="I750" s="7"/>
      <c r="Z750" s="7"/>
    </row>
    <row r="751">
      <c r="D751" s="7"/>
      <c r="H751" s="7"/>
      <c r="I751" s="7"/>
      <c r="Z751" s="7"/>
    </row>
    <row r="752">
      <c r="D752" s="7"/>
      <c r="H752" s="7"/>
      <c r="I752" s="7"/>
      <c r="Z752" s="7"/>
    </row>
    <row r="753">
      <c r="D753" s="7"/>
      <c r="H753" s="7"/>
      <c r="I753" s="7"/>
      <c r="Z753" s="7"/>
    </row>
    <row r="754">
      <c r="D754" s="7"/>
      <c r="H754" s="7"/>
      <c r="I754" s="7"/>
      <c r="Z754" s="7"/>
    </row>
    <row r="755">
      <c r="D755" s="7"/>
      <c r="H755" s="7"/>
      <c r="I755" s="7"/>
      <c r="Z755" s="7"/>
    </row>
    <row r="756">
      <c r="D756" s="7"/>
      <c r="H756" s="7"/>
      <c r="I756" s="7"/>
      <c r="Z756" s="7"/>
    </row>
    <row r="757">
      <c r="D757" s="7"/>
      <c r="H757" s="7"/>
      <c r="I757" s="7"/>
      <c r="Z757" s="7"/>
    </row>
    <row r="758">
      <c r="D758" s="7"/>
      <c r="H758" s="7"/>
      <c r="I758" s="7"/>
      <c r="Z758" s="7"/>
    </row>
    <row r="759">
      <c r="D759" s="7"/>
      <c r="H759" s="7"/>
      <c r="I759" s="7"/>
      <c r="Z759" s="7"/>
    </row>
    <row r="760">
      <c r="D760" s="7"/>
      <c r="H760" s="7"/>
      <c r="I760" s="7"/>
      <c r="Z760" s="7"/>
    </row>
    <row r="761">
      <c r="D761" s="7"/>
      <c r="H761" s="7"/>
      <c r="I761" s="7"/>
      <c r="Z761" s="7"/>
    </row>
    <row r="762">
      <c r="D762" s="7"/>
      <c r="H762" s="7"/>
      <c r="I762" s="7"/>
      <c r="Z762" s="7"/>
    </row>
    <row r="763">
      <c r="D763" s="7"/>
      <c r="H763" s="7"/>
      <c r="I763" s="7"/>
      <c r="Z763" s="7"/>
    </row>
    <row r="764">
      <c r="D764" s="7"/>
      <c r="H764" s="7"/>
      <c r="I764" s="7"/>
      <c r="Z764" s="7"/>
    </row>
    <row r="765">
      <c r="D765" s="7"/>
      <c r="H765" s="7"/>
      <c r="I765" s="7"/>
      <c r="Z765" s="7"/>
    </row>
    <row r="766">
      <c r="D766" s="7"/>
      <c r="H766" s="7"/>
      <c r="I766" s="7"/>
      <c r="Z766" s="7"/>
    </row>
    <row r="767">
      <c r="D767" s="7"/>
      <c r="H767" s="7"/>
      <c r="I767" s="7"/>
      <c r="Z767" s="7"/>
    </row>
    <row r="768">
      <c r="D768" s="7"/>
      <c r="H768" s="7"/>
      <c r="I768" s="7"/>
      <c r="Z768" s="7"/>
    </row>
    <row r="769">
      <c r="D769" s="7"/>
      <c r="H769" s="7"/>
      <c r="I769" s="7"/>
      <c r="Z769" s="7"/>
    </row>
    <row r="770">
      <c r="D770" s="7"/>
      <c r="H770" s="7"/>
      <c r="I770" s="7"/>
      <c r="Z770" s="7"/>
    </row>
    <row r="771">
      <c r="D771" s="7"/>
      <c r="H771" s="7"/>
      <c r="I771" s="7"/>
      <c r="Z771" s="7"/>
    </row>
    <row r="772">
      <c r="D772" s="7"/>
      <c r="H772" s="7"/>
      <c r="I772" s="7"/>
      <c r="Z772" s="7"/>
    </row>
    <row r="773">
      <c r="D773" s="7"/>
      <c r="H773" s="7"/>
      <c r="I773" s="7"/>
      <c r="Z773" s="7"/>
    </row>
    <row r="774">
      <c r="D774" s="7"/>
      <c r="H774" s="7"/>
      <c r="I774" s="7"/>
      <c r="Z774" s="7"/>
    </row>
    <row r="775">
      <c r="D775" s="7"/>
      <c r="H775" s="7"/>
      <c r="I775" s="7"/>
      <c r="Z775" s="7"/>
    </row>
    <row r="776">
      <c r="D776" s="7"/>
      <c r="H776" s="7"/>
      <c r="I776" s="7"/>
      <c r="Z776" s="7"/>
    </row>
    <row r="777">
      <c r="D777" s="7"/>
      <c r="H777" s="7"/>
      <c r="I777" s="7"/>
      <c r="Z777" s="7"/>
    </row>
    <row r="778">
      <c r="D778" s="7"/>
      <c r="H778" s="7"/>
      <c r="I778" s="7"/>
      <c r="Z778" s="7"/>
    </row>
    <row r="779">
      <c r="D779" s="7"/>
      <c r="H779" s="7"/>
      <c r="I779" s="7"/>
      <c r="Z779" s="7"/>
    </row>
    <row r="780">
      <c r="D780" s="7"/>
      <c r="H780" s="7"/>
      <c r="I780" s="7"/>
      <c r="Z780" s="7"/>
    </row>
    <row r="781">
      <c r="D781" s="7"/>
      <c r="H781" s="7"/>
      <c r="I781" s="7"/>
      <c r="Z781" s="7"/>
    </row>
    <row r="782">
      <c r="D782" s="7"/>
      <c r="H782" s="7"/>
      <c r="I782" s="7"/>
      <c r="Z782" s="7"/>
    </row>
    <row r="783">
      <c r="D783" s="7"/>
      <c r="H783" s="7"/>
      <c r="I783" s="7"/>
      <c r="Z783" s="7"/>
    </row>
    <row r="784">
      <c r="D784" s="7"/>
      <c r="H784" s="7"/>
      <c r="I784" s="7"/>
      <c r="Z784" s="7"/>
    </row>
    <row r="785">
      <c r="D785" s="7"/>
      <c r="H785" s="7"/>
      <c r="I785" s="7"/>
      <c r="Z785" s="7"/>
    </row>
    <row r="786">
      <c r="D786" s="7"/>
      <c r="H786" s="7"/>
      <c r="I786" s="7"/>
      <c r="Z786" s="7"/>
    </row>
    <row r="787">
      <c r="D787" s="7"/>
      <c r="H787" s="7"/>
      <c r="I787" s="7"/>
      <c r="Z787" s="7"/>
    </row>
    <row r="788">
      <c r="D788" s="7"/>
      <c r="H788" s="7"/>
      <c r="I788" s="7"/>
      <c r="Z788" s="7"/>
    </row>
    <row r="789">
      <c r="D789" s="7"/>
      <c r="H789" s="7"/>
      <c r="I789" s="7"/>
      <c r="Z789" s="7"/>
    </row>
    <row r="790">
      <c r="D790" s="7"/>
      <c r="H790" s="7"/>
      <c r="I790" s="7"/>
      <c r="Z790" s="7"/>
    </row>
    <row r="791">
      <c r="D791" s="7"/>
      <c r="H791" s="7"/>
      <c r="I791" s="7"/>
      <c r="Z791" s="7"/>
    </row>
    <row r="792">
      <c r="D792" s="7"/>
      <c r="H792" s="7"/>
      <c r="I792" s="7"/>
      <c r="Z792" s="7"/>
    </row>
    <row r="793">
      <c r="D793" s="7"/>
      <c r="H793" s="7"/>
      <c r="I793" s="7"/>
      <c r="Z793" s="7"/>
    </row>
    <row r="794">
      <c r="D794" s="7"/>
      <c r="H794" s="7"/>
      <c r="I794" s="7"/>
      <c r="Z794" s="7"/>
    </row>
    <row r="795">
      <c r="D795" s="7"/>
      <c r="H795" s="7"/>
      <c r="I795" s="7"/>
      <c r="Z795" s="7"/>
    </row>
    <row r="796">
      <c r="D796" s="7"/>
      <c r="H796" s="7"/>
      <c r="I796" s="7"/>
      <c r="Z796" s="7"/>
    </row>
    <row r="797">
      <c r="D797" s="7"/>
      <c r="H797" s="7"/>
      <c r="I797" s="7"/>
      <c r="Z797" s="7"/>
    </row>
    <row r="798">
      <c r="D798" s="7"/>
      <c r="H798" s="7"/>
      <c r="I798" s="7"/>
      <c r="Z798" s="7"/>
    </row>
    <row r="799">
      <c r="D799" s="7"/>
      <c r="H799" s="7"/>
      <c r="I799" s="7"/>
      <c r="Z799" s="7"/>
    </row>
    <row r="800">
      <c r="D800" s="7"/>
      <c r="H800" s="7"/>
      <c r="I800" s="7"/>
      <c r="Z800" s="7"/>
    </row>
    <row r="801">
      <c r="D801" s="7"/>
      <c r="H801" s="7"/>
      <c r="I801" s="7"/>
      <c r="Z801" s="7"/>
    </row>
    <row r="802">
      <c r="D802" s="7"/>
      <c r="H802" s="7"/>
      <c r="I802" s="7"/>
      <c r="Z802" s="7"/>
    </row>
    <row r="803">
      <c r="D803" s="7"/>
      <c r="H803" s="7"/>
      <c r="I803" s="7"/>
      <c r="Z803" s="7"/>
    </row>
    <row r="804">
      <c r="D804" s="7"/>
      <c r="H804" s="7"/>
      <c r="I804" s="7"/>
      <c r="Z804" s="7"/>
    </row>
    <row r="805">
      <c r="D805" s="7"/>
      <c r="H805" s="7"/>
      <c r="I805" s="7"/>
      <c r="Z805" s="7"/>
    </row>
    <row r="806">
      <c r="D806" s="7"/>
      <c r="H806" s="7"/>
      <c r="I806" s="7"/>
      <c r="Z806" s="7"/>
    </row>
    <row r="807">
      <c r="D807" s="7"/>
      <c r="H807" s="7"/>
      <c r="I807" s="7"/>
      <c r="Z807" s="7"/>
    </row>
    <row r="808">
      <c r="D808" s="7"/>
      <c r="H808" s="7"/>
      <c r="I808" s="7"/>
      <c r="Z808" s="7"/>
    </row>
    <row r="809">
      <c r="D809" s="7"/>
      <c r="H809" s="7"/>
      <c r="I809" s="7"/>
      <c r="Z809" s="7"/>
    </row>
    <row r="810">
      <c r="D810" s="7"/>
      <c r="H810" s="7"/>
      <c r="I810" s="7"/>
      <c r="Z810" s="7"/>
    </row>
    <row r="811">
      <c r="D811" s="7"/>
      <c r="H811" s="7"/>
      <c r="I811" s="7"/>
      <c r="Z811" s="7"/>
    </row>
    <row r="812">
      <c r="D812" s="7"/>
      <c r="H812" s="7"/>
      <c r="I812" s="7"/>
      <c r="Z812" s="7"/>
    </row>
    <row r="813">
      <c r="D813" s="7"/>
      <c r="H813" s="7"/>
      <c r="I813" s="7"/>
      <c r="Z813" s="7"/>
    </row>
    <row r="814">
      <c r="D814" s="7"/>
      <c r="H814" s="7"/>
      <c r="I814" s="7"/>
      <c r="Z814" s="7"/>
    </row>
    <row r="815">
      <c r="D815" s="7"/>
      <c r="H815" s="7"/>
      <c r="I815" s="7"/>
      <c r="Z815" s="7"/>
    </row>
    <row r="816">
      <c r="D816" s="7"/>
      <c r="H816" s="7"/>
      <c r="I816" s="7"/>
      <c r="Z816" s="7"/>
    </row>
    <row r="817">
      <c r="D817" s="7"/>
      <c r="H817" s="7"/>
      <c r="I817" s="7"/>
      <c r="Z817" s="7"/>
    </row>
    <row r="818">
      <c r="D818" s="7"/>
      <c r="H818" s="7"/>
      <c r="I818" s="7"/>
      <c r="Z818" s="7"/>
    </row>
    <row r="819">
      <c r="D819" s="7"/>
      <c r="H819" s="7"/>
      <c r="I819" s="7"/>
      <c r="Z819" s="7"/>
    </row>
    <row r="820">
      <c r="D820" s="7"/>
      <c r="H820" s="7"/>
      <c r="I820" s="7"/>
      <c r="Z820" s="7"/>
    </row>
    <row r="821">
      <c r="D821" s="7"/>
      <c r="H821" s="7"/>
      <c r="I821" s="7"/>
      <c r="Z821" s="7"/>
    </row>
    <row r="822">
      <c r="D822" s="7"/>
      <c r="H822" s="7"/>
      <c r="I822" s="7"/>
      <c r="Z822" s="7"/>
    </row>
    <row r="823">
      <c r="D823" s="7"/>
      <c r="H823" s="7"/>
      <c r="I823" s="7"/>
      <c r="Z823" s="7"/>
    </row>
    <row r="824">
      <c r="D824" s="7"/>
      <c r="H824" s="7"/>
      <c r="I824" s="7"/>
      <c r="Z824" s="7"/>
    </row>
    <row r="825">
      <c r="D825" s="7"/>
      <c r="H825" s="7"/>
      <c r="I825" s="7"/>
      <c r="Z825" s="7"/>
    </row>
    <row r="826">
      <c r="D826" s="7"/>
      <c r="H826" s="7"/>
      <c r="I826" s="7"/>
      <c r="Z826" s="7"/>
    </row>
    <row r="827">
      <c r="D827" s="7"/>
      <c r="H827" s="7"/>
      <c r="I827" s="7"/>
      <c r="Z827" s="7"/>
    </row>
    <row r="828">
      <c r="D828" s="7"/>
      <c r="H828" s="7"/>
      <c r="I828" s="7"/>
      <c r="Z828" s="7"/>
    </row>
    <row r="829">
      <c r="D829" s="7"/>
      <c r="H829" s="7"/>
      <c r="I829" s="7"/>
      <c r="Z829" s="7"/>
    </row>
    <row r="830">
      <c r="D830" s="7"/>
      <c r="H830" s="7"/>
      <c r="I830" s="7"/>
      <c r="Z830" s="7"/>
    </row>
    <row r="831">
      <c r="D831" s="7"/>
      <c r="H831" s="7"/>
      <c r="I831" s="7"/>
      <c r="Z831" s="7"/>
    </row>
    <row r="832">
      <c r="D832" s="7"/>
      <c r="H832" s="7"/>
      <c r="I832" s="7"/>
      <c r="Z832" s="7"/>
    </row>
    <row r="833">
      <c r="D833" s="7"/>
      <c r="H833" s="7"/>
      <c r="I833" s="7"/>
      <c r="Z833" s="7"/>
    </row>
    <row r="834">
      <c r="D834" s="7"/>
      <c r="H834" s="7"/>
      <c r="I834" s="7"/>
      <c r="Z834" s="7"/>
    </row>
    <row r="835">
      <c r="D835" s="7"/>
      <c r="H835" s="7"/>
      <c r="I835" s="7"/>
      <c r="Z835" s="7"/>
    </row>
    <row r="836">
      <c r="D836" s="7"/>
      <c r="H836" s="7"/>
      <c r="I836" s="7"/>
      <c r="Z836" s="7"/>
    </row>
    <row r="837">
      <c r="D837" s="7"/>
      <c r="H837" s="7"/>
      <c r="I837" s="7"/>
      <c r="Z837" s="7"/>
    </row>
    <row r="838">
      <c r="D838" s="7"/>
      <c r="H838" s="7"/>
      <c r="I838" s="7"/>
      <c r="Z838" s="7"/>
    </row>
    <row r="839">
      <c r="D839" s="7"/>
      <c r="H839" s="7"/>
      <c r="I839" s="7"/>
      <c r="Z839" s="7"/>
    </row>
    <row r="840">
      <c r="D840" s="7"/>
      <c r="H840" s="7"/>
      <c r="I840" s="7"/>
      <c r="Z840" s="7"/>
    </row>
    <row r="841">
      <c r="D841" s="7"/>
      <c r="H841" s="7"/>
      <c r="I841" s="7"/>
      <c r="Z841" s="7"/>
    </row>
    <row r="842">
      <c r="D842" s="7"/>
      <c r="H842" s="7"/>
      <c r="I842" s="7"/>
      <c r="Z842" s="7"/>
    </row>
    <row r="843">
      <c r="D843" s="7"/>
      <c r="H843" s="7"/>
      <c r="I843" s="7"/>
      <c r="Z843" s="7"/>
    </row>
    <row r="844">
      <c r="D844" s="7"/>
      <c r="H844" s="7"/>
      <c r="I844" s="7"/>
      <c r="Z844" s="7"/>
    </row>
    <row r="845">
      <c r="D845" s="7"/>
      <c r="H845" s="7"/>
      <c r="I845" s="7"/>
      <c r="Z845" s="7"/>
    </row>
    <row r="846">
      <c r="D846" s="7"/>
      <c r="H846" s="7"/>
      <c r="I846" s="7"/>
      <c r="Z846" s="7"/>
    </row>
    <row r="847">
      <c r="D847" s="7"/>
      <c r="H847" s="7"/>
      <c r="I847" s="7"/>
      <c r="Z847" s="7"/>
    </row>
    <row r="848">
      <c r="D848" s="7"/>
      <c r="H848" s="7"/>
      <c r="I848" s="7"/>
      <c r="Z848" s="7"/>
    </row>
    <row r="849">
      <c r="D849" s="7"/>
      <c r="H849" s="7"/>
      <c r="I849" s="7"/>
      <c r="Z849" s="7"/>
    </row>
    <row r="850">
      <c r="D850" s="7"/>
      <c r="H850" s="7"/>
      <c r="I850" s="7"/>
      <c r="Z850" s="7"/>
    </row>
    <row r="851">
      <c r="D851" s="7"/>
      <c r="H851" s="7"/>
      <c r="I851" s="7"/>
      <c r="Z851" s="7"/>
    </row>
    <row r="852">
      <c r="D852" s="7"/>
      <c r="H852" s="7"/>
      <c r="I852" s="7"/>
      <c r="Z852" s="7"/>
    </row>
    <row r="853">
      <c r="D853" s="7"/>
      <c r="H853" s="7"/>
      <c r="I853" s="7"/>
      <c r="Z853" s="7"/>
    </row>
    <row r="854">
      <c r="D854" s="7"/>
      <c r="H854" s="7"/>
      <c r="I854" s="7"/>
      <c r="Z854" s="7"/>
    </row>
    <row r="855">
      <c r="D855" s="7"/>
      <c r="H855" s="7"/>
      <c r="I855" s="7"/>
      <c r="Z855" s="7"/>
    </row>
    <row r="856">
      <c r="D856" s="7"/>
      <c r="H856" s="7"/>
      <c r="I856" s="7"/>
      <c r="Z856" s="7"/>
    </row>
    <row r="857">
      <c r="D857" s="7"/>
      <c r="H857" s="7"/>
      <c r="I857" s="7"/>
      <c r="Z857" s="7"/>
    </row>
    <row r="858">
      <c r="D858" s="7"/>
      <c r="H858" s="7"/>
      <c r="I858" s="7"/>
      <c r="Z858" s="7"/>
    </row>
    <row r="859">
      <c r="D859" s="7"/>
      <c r="H859" s="7"/>
      <c r="I859" s="7"/>
      <c r="Z859" s="7"/>
    </row>
    <row r="860">
      <c r="D860" s="7"/>
      <c r="H860" s="7"/>
      <c r="I860" s="7"/>
      <c r="Z860" s="7"/>
    </row>
    <row r="861">
      <c r="D861" s="7"/>
      <c r="H861" s="7"/>
      <c r="I861" s="7"/>
      <c r="Z861" s="7"/>
    </row>
    <row r="862">
      <c r="D862" s="7"/>
      <c r="H862" s="7"/>
      <c r="I862" s="7"/>
      <c r="Z862" s="7"/>
    </row>
    <row r="863">
      <c r="D863" s="7"/>
      <c r="H863" s="7"/>
      <c r="I863" s="7"/>
      <c r="Z863" s="7"/>
    </row>
    <row r="864">
      <c r="D864" s="7"/>
      <c r="H864" s="7"/>
      <c r="I864" s="7"/>
      <c r="Z864" s="7"/>
    </row>
    <row r="865">
      <c r="D865" s="7"/>
      <c r="H865" s="7"/>
      <c r="I865" s="7"/>
      <c r="Z865" s="7"/>
    </row>
    <row r="866">
      <c r="D866" s="7"/>
      <c r="H866" s="7"/>
      <c r="I866" s="7"/>
      <c r="Z866" s="7"/>
    </row>
    <row r="867">
      <c r="D867" s="7"/>
      <c r="H867" s="7"/>
      <c r="I867" s="7"/>
      <c r="Z867" s="7"/>
    </row>
    <row r="868">
      <c r="D868" s="7"/>
      <c r="H868" s="7"/>
      <c r="I868" s="7"/>
      <c r="Z868" s="7"/>
    </row>
    <row r="869">
      <c r="D869" s="7"/>
      <c r="H869" s="7"/>
      <c r="I869" s="7"/>
      <c r="Z869" s="7"/>
    </row>
    <row r="870">
      <c r="D870" s="7"/>
      <c r="H870" s="7"/>
      <c r="I870" s="7"/>
      <c r="Z870" s="7"/>
    </row>
    <row r="871">
      <c r="D871" s="7"/>
      <c r="H871" s="7"/>
      <c r="I871" s="7"/>
      <c r="Z871" s="7"/>
    </row>
    <row r="872">
      <c r="D872" s="7"/>
      <c r="H872" s="7"/>
      <c r="I872" s="7"/>
      <c r="Z872" s="7"/>
    </row>
    <row r="873">
      <c r="D873" s="7"/>
      <c r="H873" s="7"/>
      <c r="I873" s="7"/>
      <c r="Z873" s="7"/>
    </row>
    <row r="874">
      <c r="D874" s="7"/>
      <c r="H874" s="7"/>
      <c r="I874" s="7"/>
      <c r="Z874" s="7"/>
    </row>
    <row r="875">
      <c r="D875" s="7"/>
      <c r="H875" s="7"/>
      <c r="I875" s="7"/>
      <c r="Z875" s="7"/>
    </row>
    <row r="876">
      <c r="D876" s="7"/>
      <c r="H876" s="7"/>
      <c r="I876" s="7"/>
      <c r="Z876" s="7"/>
    </row>
    <row r="877">
      <c r="D877" s="7"/>
      <c r="H877" s="7"/>
      <c r="I877" s="7"/>
      <c r="Z877" s="7"/>
    </row>
    <row r="878">
      <c r="D878" s="7"/>
      <c r="H878" s="7"/>
      <c r="I878" s="7"/>
      <c r="Z878" s="7"/>
    </row>
    <row r="879">
      <c r="D879" s="7"/>
      <c r="H879" s="7"/>
      <c r="I879" s="7"/>
      <c r="Z879" s="7"/>
    </row>
    <row r="880">
      <c r="D880" s="7"/>
      <c r="H880" s="7"/>
      <c r="I880" s="7"/>
      <c r="Z880" s="7"/>
    </row>
    <row r="881">
      <c r="D881" s="7"/>
      <c r="H881" s="7"/>
      <c r="I881" s="7"/>
      <c r="Z881" s="7"/>
    </row>
    <row r="882">
      <c r="D882" s="7"/>
      <c r="H882" s="7"/>
      <c r="I882" s="7"/>
      <c r="Z882" s="7"/>
    </row>
    <row r="883">
      <c r="D883" s="7"/>
      <c r="H883" s="7"/>
      <c r="I883" s="7"/>
      <c r="Z883" s="7"/>
    </row>
    <row r="884">
      <c r="D884" s="7"/>
      <c r="H884" s="7"/>
      <c r="I884" s="7"/>
      <c r="Z884" s="7"/>
    </row>
    <row r="885">
      <c r="D885" s="7"/>
      <c r="H885" s="7"/>
      <c r="I885" s="7"/>
      <c r="Z885" s="7"/>
    </row>
    <row r="886">
      <c r="D886" s="7"/>
      <c r="H886" s="7"/>
      <c r="I886" s="7"/>
      <c r="Z886" s="7"/>
    </row>
    <row r="887">
      <c r="D887" s="7"/>
      <c r="H887" s="7"/>
      <c r="I887" s="7"/>
      <c r="Z887" s="7"/>
    </row>
    <row r="888">
      <c r="D888" s="7"/>
      <c r="H888" s="7"/>
      <c r="I888" s="7"/>
      <c r="Z888" s="7"/>
    </row>
    <row r="889">
      <c r="D889" s="7"/>
      <c r="H889" s="7"/>
      <c r="I889" s="7"/>
      <c r="Z889" s="7"/>
    </row>
    <row r="890">
      <c r="D890" s="7"/>
      <c r="H890" s="7"/>
      <c r="I890" s="7"/>
      <c r="Z890" s="7"/>
    </row>
    <row r="891">
      <c r="D891" s="7"/>
      <c r="H891" s="7"/>
      <c r="I891" s="7"/>
      <c r="Z891" s="7"/>
    </row>
    <row r="892">
      <c r="D892" s="7"/>
      <c r="H892" s="7"/>
      <c r="I892" s="7"/>
      <c r="Z892" s="7"/>
    </row>
    <row r="893">
      <c r="D893" s="7"/>
      <c r="H893" s="7"/>
      <c r="I893" s="7"/>
      <c r="Z893" s="7"/>
    </row>
    <row r="894">
      <c r="D894" s="7"/>
      <c r="H894" s="7"/>
      <c r="I894" s="7"/>
      <c r="Z894" s="7"/>
    </row>
    <row r="895">
      <c r="D895" s="7"/>
      <c r="H895" s="7"/>
      <c r="I895" s="7"/>
      <c r="Z895" s="7"/>
    </row>
    <row r="896">
      <c r="D896" s="7"/>
      <c r="H896" s="7"/>
      <c r="I896" s="7"/>
      <c r="Z896" s="7"/>
    </row>
    <row r="897">
      <c r="D897" s="7"/>
      <c r="H897" s="7"/>
      <c r="I897" s="7"/>
      <c r="Z897" s="7"/>
    </row>
    <row r="898">
      <c r="D898" s="7"/>
      <c r="H898" s="7"/>
      <c r="I898" s="7"/>
      <c r="Z898" s="7"/>
    </row>
    <row r="899">
      <c r="D899" s="7"/>
      <c r="H899" s="7"/>
      <c r="I899" s="7"/>
      <c r="Z899" s="7"/>
    </row>
    <row r="900">
      <c r="D900" s="7"/>
      <c r="H900" s="7"/>
      <c r="I900" s="7"/>
      <c r="Z900" s="7"/>
    </row>
    <row r="901">
      <c r="D901" s="7"/>
      <c r="H901" s="7"/>
      <c r="I901" s="7"/>
      <c r="Z901" s="7"/>
    </row>
    <row r="902">
      <c r="D902" s="7"/>
      <c r="H902" s="7"/>
      <c r="I902" s="7"/>
      <c r="Z902" s="7"/>
    </row>
    <row r="903">
      <c r="D903" s="7"/>
      <c r="H903" s="7"/>
      <c r="I903" s="7"/>
      <c r="Z903" s="7"/>
    </row>
    <row r="904">
      <c r="D904" s="7"/>
      <c r="H904" s="7"/>
      <c r="I904" s="7"/>
      <c r="Z904" s="7"/>
    </row>
    <row r="905">
      <c r="D905" s="7"/>
      <c r="H905" s="7"/>
      <c r="I905" s="7"/>
      <c r="Z905" s="7"/>
    </row>
    <row r="906">
      <c r="D906" s="7"/>
      <c r="H906" s="7"/>
      <c r="I906" s="7"/>
      <c r="Z906" s="7"/>
    </row>
    <row r="907">
      <c r="D907" s="7"/>
      <c r="H907" s="7"/>
      <c r="I907" s="7"/>
      <c r="Z907" s="7"/>
    </row>
    <row r="908">
      <c r="D908" s="7"/>
      <c r="H908" s="7"/>
      <c r="I908" s="7"/>
      <c r="Z908" s="7"/>
    </row>
    <row r="909">
      <c r="D909" s="7"/>
      <c r="H909" s="7"/>
      <c r="I909" s="7"/>
      <c r="Z909" s="7"/>
    </row>
    <row r="910">
      <c r="D910" s="7"/>
      <c r="H910" s="7"/>
      <c r="I910" s="7"/>
      <c r="Z910" s="7"/>
    </row>
    <row r="911">
      <c r="D911" s="7"/>
      <c r="H911" s="7"/>
      <c r="I911" s="7"/>
      <c r="Z911" s="7"/>
    </row>
    <row r="912">
      <c r="D912" s="7"/>
      <c r="H912" s="7"/>
      <c r="I912" s="7"/>
      <c r="Z912" s="7"/>
    </row>
    <row r="913">
      <c r="D913" s="7"/>
      <c r="H913" s="7"/>
      <c r="I913" s="7"/>
      <c r="Z913" s="7"/>
    </row>
    <row r="914">
      <c r="D914" s="7"/>
      <c r="H914" s="7"/>
      <c r="I914" s="7"/>
      <c r="Z914" s="7"/>
    </row>
    <row r="915">
      <c r="D915" s="7"/>
      <c r="H915" s="7"/>
      <c r="I915" s="7"/>
      <c r="Z915" s="7"/>
    </row>
    <row r="916">
      <c r="D916" s="7"/>
      <c r="H916" s="7"/>
      <c r="I916" s="7"/>
      <c r="Z916" s="7"/>
    </row>
    <row r="917">
      <c r="D917" s="7"/>
      <c r="H917" s="7"/>
      <c r="I917" s="7"/>
      <c r="Z917" s="7"/>
    </row>
    <row r="918">
      <c r="D918" s="7"/>
      <c r="H918" s="7"/>
      <c r="I918" s="7"/>
      <c r="Z918" s="7"/>
    </row>
    <row r="919">
      <c r="D919" s="7"/>
      <c r="H919" s="7"/>
      <c r="I919" s="7"/>
      <c r="Z919" s="7"/>
    </row>
    <row r="920">
      <c r="D920" s="7"/>
      <c r="H920" s="7"/>
      <c r="I920" s="7"/>
      <c r="Z920" s="7"/>
    </row>
    <row r="921">
      <c r="D921" s="7"/>
      <c r="H921" s="7"/>
      <c r="I921" s="7"/>
      <c r="Z921" s="7"/>
    </row>
    <row r="922">
      <c r="D922" s="7"/>
      <c r="H922" s="7"/>
      <c r="I922" s="7"/>
      <c r="Z922" s="7"/>
    </row>
    <row r="923">
      <c r="D923" s="7"/>
      <c r="H923" s="7"/>
      <c r="I923" s="7"/>
      <c r="Z923" s="7"/>
    </row>
    <row r="924">
      <c r="D924" s="7"/>
      <c r="H924" s="7"/>
      <c r="I924" s="7"/>
      <c r="Z924" s="7"/>
    </row>
    <row r="925">
      <c r="D925" s="7"/>
      <c r="H925" s="7"/>
      <c r="I925" s="7"/>
      <c r="Z925" s="7"/>
    </row>
    <row r="926">
      <c r="D926" s="7"/>
      <c r="H926" s="7"/>
      <c r="I926" s="7"/>
      <c r="Z926" s="7"/>
    </row>
    <row r="927">
      <c r="D927" s="7"/>
      <c r="H927" s="7"/>
      <c r="I927" s="7"/>
      <c r="Z927" s="7"/>
    </row>
    <row r="928">
      <c r="D928" s="7"/>
      <c r="H928" s="7"/>
      <c r="I928" s="7"/>
      <c r="Z928" s="7"/>
    </row>
    <row r="929">
      <c r="D929" s="7"/>
      <c r="H929" s="7"/>
      <c r="I929" s="7"/>
      <c r="Z929" s="7"/>
    </row>
    <row r="930">
      <c r="D930" s="7"/>
      <c r="H930" s="7"/>
      <c r="I930" s="7"/>
      <c r="Z930" s="7"/>
    </row>
    <row r="931">
      <c r="D931" s="7"/>
      <c r="H931" s="7"/>
      <c r="I931" s="7"/>
      <c r="Z931" s="7"/>
    </row>
    <row r="932">
      <c r="D932" s="7"/>
      <c r="H932" s="7"/>
      <c r="I932" s="7"/>
      <c r="Z932" s="7"/>
    </row>
    <row r="933">
      <c r="D933" s="7"/>
      <c r="H933" s="7"/>
      <c r="I933" s="7"/>
      <c r="Z933" s="7"/>
    </row>
    <row r="934">
      <c r="D934" s="7"/>
      <c r="H934" s="7"/>
      <c r="I934" s="7"/>
      <c r="Z934" s="7"/>
    </row>
    <row r="935">
      <c r="D935" s="7"/>
      <c r="H935" s="7"/>
      <c r="I935" s="7"/>
      <c r="Z935" s="7"/>
    </row>
    <row r="936">
      <c r="D936" s="7"/>
      <c r="H936" s="7"/>
      <c r="I936" s="7"/>
      <c r="Z936" s="7"/>
    </row>
    <row r="937">
      <c r="D937" s="7"/>
      <c r="H937" s="7"/>
      <c r="I937" s="7"/>
      <c r="Z937" s="7"/>
    </row>
    <row r="938">
      <c r="D938" s="7"/>
      <c r="H938" s="7"/>
      <c r="I938" s="7"/>
      <c r="Z938" s="7"/>
    </row>
    <row r="939">
      <c r="D939" s="7"/>
      <c r="H939" s="7"/>
      <c r="I939" s="7"/>
      <c r="Z939" s="7"/>
    </row>
    <row r="940">
      <c r="D940" s="7"/>
      <c r="H940" s="7"/>
      <c r="I940" s="7"/>
      <c r="Z940" s="7"/>
    </row>
    <row r="941">
      <c r="D941" s="7"/>
      <c r="H941" s="7"/>
      <c r="I941" s="7"/>
      <c r="Z941" s="7"/>
    </row>
    <row r="942">
      <c r="D942" s="7"/>
      <c r="H942" s="7"/>
      <c r="I942" s="7"/>
      <c r="Z942" s="7"/>
    </row>
    <row r="943">
      <c r="D943" s="7"/>
      <c r="H943" s="7"/>
      <c r="I943" s="7"/>
      <c r="Z943" s="7"/>
    </row>
    <row r="944">
      <c r="D944" s="7"/>
      <c r="H944" s="7"/>
      <c r="I944" s="7"/>
      <c r="Z944" s="7"/>
    </row>
    <row r="945">
      <c r="D945" s="7"/>
      <c r="H945" s="7"/>
      <c r="I945" s="7"/>
      <c r="Z945" s="7"/>
    </row>
    <row r="946">
      <c r="D946" s="7"/>
      <c r="H946" s="7"/>
      <c r="I946" s="7"/>
      <c r="Z946" s="7"/>
    </row>
    <row r="947">
      <c r="D947" s="7"/>
      <c r="H947" s="7"/>
      <c r="I947" s="7"/>
      <c r="Z947" s="7"/>
    </row>
    <row r="948">
      <c r="D948" s="7"/>
      <c r="H948" s="7"/>
      <c r="I948" s="7"/>
      <c r="Z948" s="7"/>
    </row>
    <row r="949">
      <c r="D949" s="7"/>
      <c r="H949" s="7"/>
      <c r="I949" s="7"/>
      <c r="Z949" s="7"/>
    </row>
    <row r="950">
      <c r="D950" s="7"/>
      <c r="H950" s="7"/>
      <c r="I950" s="7"/>
      <c r="Z950" s="7"/>
    </row>
    <row r="951">
      <c r="D951" s="7"/>
      <c r="H951" s="7"/>
      <c r="I951" s="7"/>
      <c r="Z951" s="7"/>
    </row>
    <row r="952">
      <c r="D952" s="7"/>
      <c r="H952" s="7"/>
      <c r="I952" s="7"/>
      <c r="Z952" s="7"/>
    </row>
    <row r="953">
      <c r="D953" s="7"/>
      <c r="H953" s="7"/>
      <c r="I953" s="7"/>
      <c r="Z953" s="7"/>
    </row>
    <row r="954">
      <c r="D954" s="7"/>
      <c r="H954" s="7"/>
      <c r="I954" s="7"/>
      <c r="Z954" s="7"/>
    </row>
    <row r="955">
      <c r="D955" s="7"/>
      <c r="H955" s="7"/>
      <c r="I955" s="7"/>
      <c r="Z955" s="7"/>
    </row>
    <row r="956">
      <c r="D956" s="7"/>
      <c r="H956" s="7"/>
      <c r="I956" s="7"/>
      <c r="Z956" s="7"/>
    </row>
    <row r="957">
      <c r="D957" s="7"/>
      <c r="H957" s="7"/>
      <c r="I957" s="7"/>
      <c r="Z957" s="7"/>
    </row>
    <row r="958">
      <c r="D958" s="7"/>
      <c r="H958" s="7"/>
      <c r="I958" s="7"/>
      <c r="Z958" s="7"/>
    </row>
    <row r="959">
      <c r="D959" s="7"/>
      <c r="H959" s="7"/>
      <c r="I959" s="7"/>
      <c r="Z959" s="7"/>
    </row>
    <row r="960">
      <c r="D960" s="7"/>
      <c r="H960" s="7"/>
      <c r="I960" s="7"/>
      <c r="Z960" s="7"/>
    </row>
    <row r="961">
      <c r="D961" s="7"/>
      <c r="H961" s="7"/>
      <c r="I961" s="7"/>
      <c r="Z961" s="7"/>
    </row>
    <row r="962">
      <c r="D962" s="7"/>
      <c r="H962" s="7"/>
      <c r="I962" s="7"/>
      <c r="Z962" s="7"/>
    </row>
    <row r="963">
      <c r="D963" s="7"/>
      <c r="H963" s="7"/>
      <c r="I963" s="7"/>
      <c r="Z963" s="7"/>
    </row>
    <row r="964">
      <c r="D964" s="7"/>
      <c r="H964" s="7"/>
      <c r="I964" s="7"/>
      <c r="Z964" s="7"/>
    </row>
    <row r="965">
      <c r="D965" s="7"/>
      <c r="H965" s="7"/>
      <c r="I965" s="7"/>
      <c r="Z965" s="7"/>
    </row>
    <row r="966">
      <c r="D966" s="7"/>
      <c r="H966" s="7"/>
      <c r="I966" s="7"/>
      <c r="Z966" s="7"/>
    </row>
    <row r="967">
      <c r="D967" s="7"/>
      <c r="H967" s="7"/>
      <c r="I967" s="7"/>
      <c r="Z967" s="7"/>
    </row>
    <row r="968">
      <c r="D968" s="7"/>
      <c r="H968" s="7"/>
      <c r="I968" s="7"/>
      <c r="Z968" s="7"/>
    </row>
    <row r="969">
      <c r="D969" s="7"/>
      <c r="H969" s="7"/>
      <c r="I969" s="7"/>
      <c r="Z969" s="7"/>
    </row>
    <row r="970">
      <c r="D970" s="7"/>
      <c r="H970" s="7"/>
      <c r="I970" s="7"/>
      <c r="Z970" s="7"/>
    </row>
    <row r="971">
      <c r="D971" s="7"/>
      <c r="H971" s="7"/>
      <c r="I971" s="7"/>
      <c r="Z971" s="7"/>
    </row>
    <row r="972">
      <c r="D972" s="7"/>
      <c r="H972" s="7"/>
      <c r="I972" s="7"/>
      <c r="Z972" s="7"/>
    </row>
    <row r="973">
      <c r="D973" s="7"/>
      <c r="H973" s="7"/>
      <c r="I973" s="7"/>
      <c r="Z973" s="7"/>
    </row>
    <row r="974">
      <c r="D974" s="7"/>
      <c r="H974" s="7"/>
      <c r="I974" s="7"/>
      <c r="Z974" s="7"/>
    </row>
    <row r="975">
      <c r="D975" s="7"/>
      <c r="H975" s="7"/>
      <c r="I975" s="7"/>
      <c r="Z975" s="7"/>
    </row>
    <row r="976">
      <c r="D976" s="7"/>
      <c r="H976" s="7"/>
      <c r="I976" s="7"/>
      <c r="Z976" s="7"/>
    </row>
    <row r="977">
      <c r="D977" s="7"/>
      <c r="H977" s="7"/>
      <c r="I977" s="7"/>
      <c r="Z977" s="7"/>
    </row>
    <row r="978">
      <c r="D978" s="7"/>
      <c r="H978" s="7"/>
      <c r="I978" s="7"/>
      <c r="Z978" s="7"/>
    </row>
    <row r="979">
      <c r="D979" s="7"/>
      <c r="H979" s="7"/>
      <c r="I979" s="7"/>
      <c r="Z979" s="7"/>
    </row>
    <row r="980">
      <c r="D980" s="7"/>
      <c r="H980" s="7"/>
      <c r="I980" s="7"/>
      <c r="Z980" s="7"/>
    </row>
    <row r="981">
      <c r="D981" s="7"/>
      <c r="H981" s="7"/>
      <c r="I981" s="7"/>
      <c r="Z981" s="7"/>
    </row>
    <row r="982">
      <c r="D982" s="7"/>
      <c r="H982" s="7"/>
      <c r="I982" s="7"/>
      <c r="Z982" s="7"/>
    </row>
    <row r="983">
      <c r="D983" s="7"/>
      <c r="H983" s="7"/>
      <c r="I983" s="7"/>
      <c r="Z983" s="7"/>
    </row>
    <row r="984">
      <c r="D984" s="7"/>
      <c r="H984" s="7"/>
      <c r="I984" s="7"/>
      <c r="Z984" s="7"/>
    </row>
    <row r="985">
      <c r="D985" s="7"/>
      <c r="H985" s="7"/>
      <c r="I985" s="7"/>
      <c r="Z985" s="7"/>
    </row>
    <row r="986">
      <c r="D986" s="7"/>
      <c r="H986" s="7"/>
      <c r="I986" s="7"/>
      <c r="Z986" s="7"/>
    </row>
    <row r="987">
      <c r="D987" s="7"/>
      <c r="H987" s="7"/>
      <c r="I987" s="7"/>
      <c r="Z987" s="7"/>
    </row>
    <row r="988">
      <c r="D988" s="7"/>
      <c r="H988" s="7"/>
      <c r="I988" s="7"/>
      <c r="Z988" s="7"/>
    </row>
    <row r="989">
      <c r="D989" s="7"/>
      <c r="H989" s="7"/>
      <c r="I989" s="7"/>
      <c r="Z989" s="7"/>
    </row>
    <row r="990">
      <c r="D990" s="7"/>
      <c r="H990" s="7"/>
      <c r="I990" s="7"/>
      <c r="Z990" s="7"/>
    </row>
    <row r="991">
      <c r="D991" s="7"/>
      <c r="H991" s="7"/>
      <c r="I991" s="7"/>
      <c r="Z991" s="7"/>
    </row>
    <row r="992">
      <c r="D992" s="7"/>
      <c r="H992" s="7"/>
      <c r="I992" s="7"/>
      <c r="Z992" s="7"/>
    </row>
    <row r="993">
      <c r="D993" s="7"/>
      <c r="H993" s="7"/>
      <c r="I993" s="7"/>
      <c r="Z993" s="7"/>
    </row>
    <row r="994">
      <c r="D994" s="7"/>
      <c r="H994" s="7"/>
      <c r="I994" s="7"/>
      <c r="Z994" s="7"/>
    </row>
    <row r="995">
      <c r="D995" s="7"/>
      <c r="H995" s="7"/>
      <c r="I995" s="7"/>
      <c r="Z995" s="7"/>
    </row>
    <row r="996">
      <c r="D996" s="7"/>
      <c r="H996" s="7"/>
      <c r="I996" s="7"/>
      <c r="Z996" s="7"/>
    </row>
    <row r="997">
      <c r="D997" s="7"/>
      <c r="H997" s="7"/>
      <c r="I997" s="7"/>
      <c r="Z997" s="7"/>
    </row>
    <row r="998">
      <c r="D998" s="7"/>
      <c r="H998" s="7"/>
      <c r="I998" s="7"/>
      <c r="Z998" s="7"/>
    </row>
    <row r="999">
      <c r="D999" s="7"/>
      <c r="H999" s="7"/>
      <c r="I999" s="7"/>
      <c r="Z999" s="7"/>
    </row>
    <row r="1000">
      <c r="D1000" s="7"/>
      <c r="H1000" s="7"/>
      <c r="I1000" s="7"/>
      <c r="Z1000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11.0</v>
      </c>
      <c r="C3" s="12">
        <v>11.0</v>
      </c>
      <c r="D3" s="7">
        <f t="shared" ref="D3:D62" si="1">(C3-B3)/B3</f>
        <v>0</v>
      </c>
      <c r="E3" s="12">
        <v>0.15</v>
      </c>
      <c r="F3" s="9">
        <v>11.0</v>
      </c>
      <c r="G3" s="9">
        <v>11.0</v>
      </c>
      <c r="H3" s="7">
        <f t="shared" ref="H3:H62" si="2">(G3-F3)/F3</f>
        <v>0</v>
      </c>
      <c r="I3" s="9">
        <v>0.04</v>
      </c>
      <c r="J3" s="9">
        <v>11.0</v>
      </c>
      <c r="K3" s="9">
        <v>11.0</v>
      </c>
      <c r="L3" s="9">
        <v>8.15</v>
      </c>
      <c r="M3" s="13">
        <f t="shared" ref="M3:M62" si="3">MAX(B3,F3,J3)</f>
        <v>11</v>
      </c>
      <c r="N3" s="13">
        <f t="shared" ref="N3:N62" si="4">MIN(C3,G3)</f>
        <v>11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0.15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0.04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8.15</v>
      </c>
    </row>
    <row r="4">
      <c r="A4" s="1" t="s">
        <v>9</v>
      </c>
      <c r="B4" s="12">
        <v>9.0</v>
      </c>
      <c r="C4" s="12">
        <v>9.0</v>
      </c>
      <c r="D4" s="7">
        <f t="shared" si="1"/>
        <v>0</v>
      </c>
      <c r="E4" s="12">
        <v>0.25</v>
      </c>
      <c r="F4" s="9">
        <v>9.0</v>
      </c>
      <c r="G4" s="9">
        <v>9.0</v>
      </c>
      <c r="H4" s="7">
        <f t="shared" si="2"/>
        <v>0</v>
      </c>
      <c r="I4" s="9">
        <v>0.14</v>
      </c>
      <c r="J4" s="9">
        <v>9.0</v>
      </c>
      <c r="K4" s="9">
        <v>9.0</v>
      </c>
      <c r="L4" s="9">
        <v>0.35</v>
      </c>
      <c r="M4" s="13">
        <f t="shared" si="3"/>
        <v>9</v>
      </c>
      <c r="N4" s="13">
        <f t="shared" si="4"/>
        <v>9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0.25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0.14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0.35</v>
      </c>
    </row>
    <row r="5">
      <c r="A5" s="1" t="s">
        <v>10</v>
      </c>
      <c r="B5" s="12">
        <v>14.0</v>
      </c>
      <c r="C5" s="12">
        <v>14.0</v>
      </c>
      <c r="D5" s="7">
        <f t="shared" si="1"/>
        <v>0</v>
      </c>
      <c r="E5" s="12">
        <v>0.29</v>
      </c>
      <c r="F5" s="9">
        <v>14.0</v>
      </c>
      <c r="G5" s="9">
        <v>14.0</v>
      </c>
      <c r="H5" s="7">
        <f t="shared" si="2"/>
        <v>0</v>
      </c>
      <c r="I5" s="9">
        <v>0.09</v>
      </c>
      <c r="J5" s="9">
        <v>14.0</v>
      </c>
      <c r="K5" s="9">
        <v>14.0</v>
      </c>
      <c r="L5" s="9">
        <v>7.69</v>
      </c>
      <c r="M5" s="13">
        <f t="shared" si="3"/>
        <v>14</v>
      </c>
      <c r="N5" s="13">
        <f t="shared" si="4"/>
        <v>14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0.29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0.09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7.69</v>
      </c>
    </row>
    <row r="6">
      <c r="A6" s="1" t="s">
        <v>11</v>
      </c>
      <c r="B6" s="12">
        <v>10.0</v>
      </c>
      <c r="C6" s="12">
        <v>10.0</v>
      </c>
      <c r="D6" s="7">
        <f t="shared" si="1"/>
        <v>0</v>
      </c>
      <c r="E6" s="12">
        <v>0.8</v>
      </c>
      <c r="F6" s="9">
        <v>10.0</v>
      </c>
      <c r="G6" s="9">
        <v>10.0</v>
      </c>
      <c r="H6" s="7">
        <f t="shared" si="2"/>
        <v>0</v>
      </c>
      <c r="I6" s="9">
        <v>0.23</v>
      </c>
      <c r="J6" s="9">
        <v>10.0</v>
      </c>
      <c r="K6" s="9">
        <v>10.0</v>
      </c>
      <c r="L6" s="9">
        <v>0.26</v>
      </c>
      <c r="M6" s="13">
        <f t="shared" si="3"/>
        <v>10</v>
      </c>
      <c r="N6" s="13">
        <f t="shared" si="4"/>
        <v>10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0.8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0.23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0.26</v>
      </c>
    </row>
    <row r="7">
      <c r="A7" s="1" t="s">
        <v>12</v>
      </c>
      <c r="B7" s="12">
        <v>13.0</v>
      </c>
      <c r="C7" s="12">
        <v>13.0</v>
      </c>
      <c r="D7" s="7">
        <f t="shared" si="1"/>
        <v>0</v>
      </c>
      <c r="E7" s="12">
        <v>0.42</v>
      </c>
      <c r="F7" s="9">
        <v>13.0</v>
      </c>
      <c r="G7" s="9">
        <v>13.0</v>
      </c>
      <c r="H7" s="7">
        <f t="shared" si="2"/>
        <v>0</v>
      </c>
      <c r="I7" s="9">
        <v>0.12</v>
      </c>
      <c r="J7" s="9">
        <v>13.0</v>
      </c>
      <c r="K7" s="9">
        <v>13.0</v>
      </c>
      <c r="L7" s="9">
        <v>2.73</v>
      </c>
      <c r="M7" s="13">
        <f t="shared" si="3"/>
        <v>13</v>
      </c>
      <c r="N7" s="13">
        <f t="shared" si="4"/>
        <v>13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0.42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0.12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2.73</v>
      </c>
    </row>
    <row r="8">
      <c r="A8" s="1" t="s">
        <v>13</v>
      </c>
      <c r="B8" s="12">
        <v>13.0</v>
      </c>
      <c r="C8" s="12">
        <v>13.0</v>
      </c>
      <c r="D8" s="7">
        <f t="shared" si="1"/>
        <v>0</v>
      </c>
      <c r="E8" s="12">
        <v>1.47</v>
      </c>
      <c r="F8" s="9">
        <v>13.0</v>
      </c>
      <c r="G8" s="9">
        <v>13.0</v>
      </c>
      <c r="H8" s="7">
        <f t="shared" si="2"/>
        <v>0</v>
      </c>
      <c r="I8" s="9">
        <v>0.63</v>
      </c>
      <c r="J8" s="9">
        <v>13.0</v>
      </c>
      <c r="K8" s="9">
        <v>13.0</v>
      </c>
      <c r="L8" s="9">
        <v>3.2</v>
      </c>
      <c r="M8" s="13">
        <f t="shared" si="3"/>
        <v>13</v>
      </c>
      <c r="N8" s="13">
        <f t="shared" si="4"/>
        <v>13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1.47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0.63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3.2</v>
      </c>
    </row>
    <row r="9">
      <c r="A9" s="1" t="s">
        <v>14</v>
      </c>
      <c r="B9" s="12">
        <v>13.0</v>
      </c>
      <c r="C9" s="12">
        <v>13.0</v>
      </c>
      <c r="D9" s="7">
        <f t="shared" si="1"/>
        <v>0</v>
      </c>
      <c r="E9" s="12">
        <v>0.32</v>
      </c>
      <c r="F9" s="9">
        <v>13.0</v>
      </c>
      <c r="G9" s="9">
        <v>13.0</v>
      </c>
      <c r="H9" s="7">
        <f t="shared" si="2"/>
        <v>0</v>
      </c>
      <c r="I9" s="9">
        <v>0.07</v>
      </c>
      <c r="J9" s="9">
        <v>13.0</v>
      </c>
      <c r="K9" s="9">
        <v>13.0</v>
      </c>
      <c r="L9" s="9">
        <v>1.16</v>
      </c>
      <c r="M9" s="13">
        <f t="shared" si="3"/>
        <v>13</v>
      </c>
      <c r="N9" s="13">
        <f t="shared" si="4"/>
        <v>13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0.32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0.07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1.16</v>
      </c>
    </row>
    <row r="10">
      <c r="A10" s="1" t="s">
        <v>15</v>
      </c>
      <c r="B10" s="12">
        <v>13.0</v>
      </c>
      <c r="C10" s="12">
        <v>13.0</v>
      </c>
      <c r="D10" s="7">
        <f t="shared" si="1"/>
        <v>0</v>
      </c>
      <c r="E10" s="12">
        <v>0.72</v>
      </c>
      <c r="F10" s="9">
        <v>13.0</v>
      </c>
      <c r="G10" s="9">
        <v>13.0</v>
      </c>
      <c r="H10" s="7">
        <f t="shared" si="2"/>
        <v>0</v>
      </c>
      <c r="I10" s="9">
        <v>0.12</v>
      </c>
      <c r="J10" s="9">
        <v>13.0</v>
      </c>
      <c r="K10" s="9">
        <v>13.0</v>
      </c>
      <c r="L10" s="9">
        <v>8.97</v>
      </c>
      <c r="M10" s="13">
        <f t="shared" si="3"/>
        <v>13</v>
      </c>
      <c r="N10" s="13">
        <f t="shared" si="4"/>
        <v>13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0.72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0.12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8.97</v>
      </c>
    </row>
    <row r="11">
      <c r="A11" s="1" t="s">
        <v>16</v>
      </c>
      <c r="B11" s="12">
        <v>16.0</v>
      </c>
      <c r="C11" s="12">
        <v>16.0</v>
      </c>
      <c r="D11" s="7">
        <f t="shared" si="1"/>
        <v>0</v>
      </c>
      <c r="E11" s="12">
        <v>1.35</v>
      </c>
      <c r="F11" s="9">
        <v>16.0</v>
      </c>
      <c r="G11" s="9">
        <v>16.0</v>
      </c>
      <c r="H11" s="7">
        <f t="shared" si="2"/>
        <v>0</v>
      </c>
      <c r="I11" s="9">
        <v>0.61</v>
      </c>
      <c r="J11" s="9">
        <v>16.0</v>
      </c>
      <c r="K11" s="9">
        <v>16.0</v>
      </c>
      <c r="L11" s="9">
        <v>8.36</v>
      </c>
      <c r="M11" s="13">
        <f t="shared" si="3"/>
        <v>16</v>
      </c>
      <c r="N11" s="13">
        <f t="shared" si="4"/>
        <v>16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1.35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0.61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8.36</v>
      </c>
    </row>
    <row r="12">
      <c r="A12" s="1" t="s">
        <v>17</v>
      </c>
      <c r="B12" s="12">
        <v>16.0</v>
      </c>
      <c r="C12" s="12">
        <v>16.0</v>
      </c>
      <c r="D12" s="7">
        <f t="shared" si="1"/>
        <v>0</v>
      </c>
      <c r="E12" s="12">
        <v>0.59</v>
      </c>
      <c r="F12" s="9">
        <v>16.0</v>
      </c>
      <c r="G12" s="9">
        <v>16.0</v>
      </c>
      <c r="H12" s="7">
        <f t="shared" si="2"/>
        <v>0</v>
      </c>
      <c r="I12" s="9">
        <v>0.31</v>
      </c>
      <c r="J12" s="9">
        <v>16.0</v>
      </c>
      <c r="K12" s="9">
        <v>16.0</v>
      </c>
      <c r="L12" s="9">
        <v>4.8</v>
      </c>
      <c r="M12" s="13">
        <f t="shared" si="3"/>
        <v>16</v>
      </c>
      <c r="N12" s="13">
        <f t="shared" si="4"/>
        <v>16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0.59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0.31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4.8</v>
      </c>
    </row>
    <row r="13">
      <c r="A13" s="1" t="s">
        <v>18</v>
      </c>
      <c r="B13" s="12">
        <v>12.0</v>
      </c>
      <c r="C13" s="12">
        <v>12.0</v>
      </c>
      <c r="D13" s="7">
        <f t="shared" si="1"/>
        <v>0</v>
      </c>
      <c r="E13" s="12">
        <v>2.2</v>
      </c>
      <c r="F13" s="9">
        <v>12.0</v>
      </c>
      <c r="G13" s="9">
        <v>12.0</v>
      </c>
      <c r="H13" s="7">
        <f t="shared" si="2"/>
        <v>0</v>
      </c>
      <c r="I13" s="9">
        <v>0.64</v>
      </c>
      <c r="J13" s="9">
        <v>12.0</v>
      </c>
      <c r="K13" s="9">
        <v>12.0</v>
      </c>
      <c r="L13" s="9">
        <v>0.46</v>
      </c>
      <c r="M13" s="13">
        <f t="shared" si="3"/>
        <v>12</v>
      </c>
      <c r="N13" s="13">
        <f t="shared" si="4"/>
        <v>12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2.2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0.64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0.46</v>
      </c>
    </row>
    <row r="14">
      <c r="A14" s="1" t="s">
        <v>19</v>
      </c>
      <c r="B14" s="12">
        <v>13.0</v>
      </c>
      <c r="C14" s="12">
        <v>13.0</v>
      </c>
      <c r="D14" s="7">
        <f t="shared" si="1"/>
        <v>0</v>
      </c>
      <c r="E14" s="12">
        <v>2.28</v>
      </c>
      <c r="F14" s="9">
        <v>13.0</v>
      </c>
      <c r="G14" s="9">
        <v>13.0</v>
      </c>
      <c r="H14" s="7">
        <f t="shared" si="2"/>
        <v>0</v>
      </c>
      <c r="I14" s="9">
        <v>0.55</v>
      </c>
      <c r="J14" s="9">
        <v>13.0</v>
      </c>
      <c r="K14" s="9">
        <v>13.0</v>
      </c>
      <c r="L14" s="9">
        <v>6.4</v>
      </c>
      <c r="M14" s="13">
        <f t="shared" si="3"/>
        <v>13</v>
      </c>
      <c r="N14" s="13">
        <f t="shared" si="4"/>
        <v>13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2.28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0.55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6.4</v>
      </c>
    </row>
    <row r="15">
      <c r="A15" s="1" t="s">
        <v>20</v>
      </c>
      <c r="B15" s="12">
        <v>17.0</v>
      </c>
      <c r="C15" s="12">
        <v>17.0</v>
      </c>
      <c r="D15" s="7">
        <f t="shared" si="1"/>
        <v>0</v>
      </c>
      <c r="E15" s="12">
        <v>0.68</v>
      </c>
      <c r="F15" s="9">
        <v>17.0</v>
      </c>
      <c r="G15" s="9">
        <v>17.0</v>
      </c>
      <c r="H15" s="7">
        <f t="shared" si="2"/>
        <v>0</v>
      </c>
      <c r="I15" s="9">
        <v>0.38</v>
      </c>
      <c r="J15" s="9">
        <v>17.0</v>
      </c>
      <c r="K15" s="9">
        <v>17.0</v>
      </c>
      <c r="L15" s="9">
        <v>0.44</v>
      </c>
      <c r="M15" s="13">
        <f t="shared" si="3"/>
        <v>17</v>
      </c>
      <c r="N15" s="13">
        <f t="shared" si="4"/>
        <v>17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0.68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0.38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0.44</v>
      </c>
    </row>
    <row r="16">
      <c r="A16" s="1" t="s">
        <v>21</v>
      </c>
      <c r="B16" s="12">
        <v>14.0</v>
      </c>
      <c r="C16" s="12">
        <v>14.0</v>
      </c>
      <c r="D16" s="7">
        <f t="shared" si="1"/>
        <v>0</v>
      </c>
      <c r="E16" s="12">
        <v>2.9</v>
      </c>
      <c r="F16" s="9">
        <v>14.0</v>
      </c>
      <c r="G16" s="9">
        <v>14.0</v>
      </c>
      <c r="H16" s="7">
        <f t="shared" si="2"/>
        <v>0</v>
      </c>
      <c r="I16" s="9">
        <v>1.31</v>
      </c>
      <c r="J16" s="9">
        <v>14.0</v>
      </c>
      <c r="K16" s="9">
        <v>14.0</v>
      </c>
      <c r="L16" s="9">
        <v>0.6</v>
      </c>
      <c r="M16" s="13">
        <f t="shared" si="3"/>
        <v>14</v>
      </c>
      <c r="N16" s="13">
        <f t="shared" si="4"/>
        <v>14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2.9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1.31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0.6</v>
      </c>
    </row>
    <row r="17">
      <c r="A17" s="1" t="s">
        <v>22</v>
      </c>
      <c r="B17" s="12">
        <v>18.0</v>
      </c>
      <c r="C17" s="12">
        <v>18.0</v>
      </c>
      <c r="D17" s="7">
        <f t="shared" si="1"/>
        <v>0</v>
      </c>
      <c r="E17" s="12">
        <v>0.8</v>
      </c>
      <c r="F17" s="9">
        <v>18.0</v>
      </c>
      <c r="G17" s="9">
        <v>18.0</v>
      </c>
      <c r="H17" s="7">
        <f t="shared" si="2"/>
        <v>0</v>
      </c>
      <c r="I17" s="9">
        <v>0.55</v>
      </c>
      <c r="J17" s="9">
        <v>18.0</v>
      </c>
      <c r="K17" s="9">
        <v>18.0</v>
      </c>
      <c r="L17" s="9">
        <v>0.28</v>
      </c>
      <c r="M17" s="13">
        <f t="shared" si="3"/>
        <v>18</v>
      </c>
      <c r="N17" s="13">
        <f t="shared" si="4"/>
        <v>18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0.8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0.55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0.28</v>
      </c>
    </row>
    <row r="18">
      <c r="A18" s="1" t="s">
        <v>23</v>
      </c>
      <c r="B18" s="12">
        <v>16.0</v>
      </c>
      <c r="C18" s="12">
        <v>16.0</v>
      </c>
      <c r="D18" s="7">
        <f t="shared" si="1"/>
        <v>0</v>
      </c>
      <c r="E18" s="12">
        <v>22.79</v>
      </c>
      <c r="F18" s="9">
        <v>16.0</v>
      </c>
      <c r="G18" s="9">
        <v>16.0</v>
      </c>
      <c r="H18" s="7">
        <f t="shared" si="2"/>
        <v>0</v>
      </c>
      <c r="I18" s="9">
        <v>1.5</v>
      </c>
      <c r="J18" s="9">
        <v>16.0</v>
      </c>
      <c r="K18" s="9">
        <v>16.0</v>
      </c>
      <c r="L18" s="9">
        <v>0.27</v>
      </c>
      <c r="M18" s="13">
        <f t="shared" si="3"/>
        <v>16</v>
      </c>
      <c r="N18" s="13">
        <f t="shared" si="4"/>
        <v>16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22.79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1.5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0.27</v>
      </c>
    </row>
    <row r="19">
      <c r="A19" s="1" t="s">
        <v>24</v>
      </c>
      <c r="B19" s="12">
        <v>17.0</v>
      </c>
      <c r="C19" s="12">
        <v>17.0</v>
      </c>
      <c r="D19" s="7">
        <f t="shared" si="1"/>
        <v>0</v>
      </c>
      <c r="E19" s="12">
        <v>0.76</v>
      </c>
      <c r="F19" s="9">
        <v>17.0</v>
      </c>
      <c r="G19" s="9">
        <v>17.0</v>
      </c>
      <c r="H19" s="7">
        <f t="shared" si="2"/>
        <v>0</v>
      </c>
      <c r="I19" s="9">
        <v>0.71</v>
      </c>
      <c r="J19" s="9">
        <v>17.0</v>
      </c>
      <c r="K19" s="9">
        <v>17.0</v>
      </c>
      <c r="L19" s="9">
        <v>3.02</v>
      </c>
      <c r="M19" s="13">
        <f t="shared" si="3"/>
        <v>17</v>
      </c>
      <c r="N19" s="13">
        <f t="shared" si="4"/>
        <v>17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0.76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0.71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3.02</v>
      </c>
    </row>
    <row r="20">
      <c r="A20" s="1" t="s">
        <v>25</v>
      </c>
      <c r="B20" s="12">
        <v>18.0</v>
      </c>
      <c r="C20" s="12">
        <v>18.0</v>
      </c>
      <c r="D20" s="7">
        <f t="shared" si="1"/>
        <v>0</v>
      </c>
      <c r="E20" s="12">
        <v>58.68</v>
      </c>
      <c r="F20" s="9">
        <v>18.0</v>
      </c>
      <c r="G20" s="9">
        <v>18.0</v>
      </c>
      <c r="H20" s="7">
        <f t="shared" si="2"/>
        <v>0</v>
      </c>
      <c r="I20" s="9">
        <v>1.78</v>
      </c>
      <c r="J20" s="9">
        <v>18.0</v>
      </c>
      <c r="K20" s="9">
        <v>18.0</v>
      </c>
      <c r="L20" s="9">
        <v>0.71</v>
      </c>
      <c r="M20" s="13">
        <f t="shared" si="3"/>
        <v>18</v>
      </c>
      <c r="N20" s="13">
        <f t="shared" si="4"/>
        <v>18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58.68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1.78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0.71</v>
      </c>
    </row>
    <row r="21">
      <c r="A21" s="1" t="s">
        <v>26</v>
      </c>
      <c r="B21" s="12">
        <v>15.0</v>
      </c>
      <c r="C21" s="12">
        <v>15.0</v>
      </c>
      <c r="D21" s="7">
        <f t="shared" si="1"/>
        <v>0</v>
      </c>
      <c r="E21" s="12">
        <v>4.4</v>
      </c>
      <c r="F21" s="9">
        <v>15.0</v>
      </c>
      <c r="G21" s="9">
        <v>15.0</v>
      </c>
      <c r="H21" s="7">
        <f t="shared" si="2"/>
        <v>0</v>
      </c>
      <c r="I21" s="9">
        <v>0.73</v>
      </c>
      <c r="J21" s="9">
        <v>15.0</v>
      </c>
      <c r="K21" s="9">
        <v>15.0</v>
      </c>
      <c r="L21" s="9">
        <v>0.39</v>
      </c>
      <c r="M21" s="13">
        <f t="shared" si="3"/>
        <v>15</v>
      </c>
      <c r="N21" s="13">
        <f t="shared" si="4"/>
        <v>15</v>
      </c>
      <c r="O21" s="7">
        <f t="shared" si="5"/>
        <v>0</v>
      </c>
      <c r="Q21" s="7">
        <f t="shared" si="6"/>
        <v>0</v>
      </c>
      <c r="R21" s="7">
        <f t="shared" si="7"/>
        <v>0</v>
      </c>
      <c r="S21" s="13" t="b">
        <f t="shared" si="8"/>
        <v>1</v>
      </c>
      <c r="T21" s="13">
        <f t="shared" si="9"/>
        <v>4.4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0.73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0.39</v>
      </c>
    </row>
    <row r="22">
      <c r="A22" s="1" t="s">
        <v>27</v>
      </c>
      <c r="B22" s="12">
        <v>17.0</v>
      </c>
      <c r="C22" s="12">
        <v>17.0</v>
      </c>
      <c r="D22" s="7">
        <f t="shared" si="1"/>
        <v>0</v>
      </c>
      <c r="E22" s="12">
        <v>2.69</v>
      </c>
      <c r="F22" s="9">
        <v>17.0</v>
      </c>
      <c r="G22" s="9">
        <v>17.0</v>
      </c>
      <c r="H22" s="7">
        <f t="shared" si="2"/>
        <v>0</v>
      </c>
      <c r="I22" s="9">
        <v>2.43</v>
      </c>
      <c r="J22" s="9">
        <v>17.0</v>
      </c>
      <c r="K22" s="9">
        <v>17.0</v>
      </c>
      <c r="L22" s="9">
        <v>18.02</v>
      </c>
      <c r="M22" s="13">
        <f t="shared" si="3"/>
        <v>17</v>
      </c>
      <c r="N22" s="13">
        <f t="shared" si="4"/>
        <v>17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2.69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2.43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18.02</v>
      </c>
    </row>
    <row r="23">
      <c r="A23" s="1" t="s">
        <v>28</v>
      </c>
      <c r="B23" s="12">
        <v>17.0</v>
      </c>
      <c r="C23" s="12">
        <v>17.0</v>
      </c>
      <c r="D23" s="7">
        <f t="shared" si="1"/>
        <v>0</v>
      </c>
      <c r="E23" s="12">
        <v>14.19</v>
      </c>
      <c r="F23" s="9">
        <v>17.0</v>
      </c>
      <c r="G23" s="9">
        <v>17.0</v>
      </c>
      <c r="H23" s="7">
        <f t="shared" si="2"/>
        <v>0</v>
      </c>
      <c r="I23" s="9">
        <v>2.24</v>
      </c>
      <c r="J23" s="9">
        <v>17.0</v>
      </c>
      <c r="K23" s="9">
        <v>17.0</v>
      </c>
      <c r="L23" s="9">
        <v>10.03</v>
      </c>
      <c r="M23" s="13">
        <f t="shared" si="3"/>
        <v>17</v>
      </c>
      <c r="N23" s="13">
        <f t="shared" si="4"/>
        <v>17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14.19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2.24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10.03</v>
      </c>
    </row>
    <row r="24">
      <c r="A24" s="1" t="s">
        <v>29</v>
      </c>
      <c r="B24" s="12">
        <v>19.0</v>
      </c>
      <c r="C24" s="12">
        <v>19.0</v>
      </c>
      <c r="D24" s="7">
        <f t="shared" si="1"/>
        <v>0</v>
      </c>
      <c r="E24" s="12">
        <v>17.94</v>
      </c>
      <c r="F24" s="9">
        <v>19.0</v>
      </c>
      <c r="G24" s="9">
        <v>19.0</v>
      </c>
      <c r="H24" s="7">
        <f t="shared" si="2"/>
        <v>0</v>
      </c>
      <c r="I24" s="9">
        <v>2.29</v>
      </c>
      <c r="J24" s="9">
        <v>19.0</v>
      </c>
      <c r="K24" s="9">
        <v>19.0</v>
      </c>
      <c r="L24" s="9">
        <v>0.76</v>
      </c>
      <c r="M24" s="13">
        <f t="shared" si="3"/>
        <v>19</v>
      </c>
      <c r="N24" s="13">
        <f t="shared" si="4"/>
        <v>19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17.94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2.29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0.76</v>
      </c>
    </row>
    <row r="25">
      <c r="A25" s="1" t="s">
        <v>30</v>
      </c>
      <c r="B25" s="12">
        <v>17.0</v>
      </c>
      <c r="C25" s="12">
        <v>17.0</v>
      </c>
      <c r="D25" s="7">
        <f t="shared" si="1"/>
        <v>0</v>
      </c>
      <c r="E25" s="12">
        <v>1.97</v>
      </c>
      <c r="F25" s="9">
        <v>17.0</v>
      </c>
      <c r="G25" s="9">
        <v>17.0</v>
      </c>
      <c r="H25" s="7">
        <f t="shared" si="2"/>
        <v>0</v>
      </c>
      <c r="I25" s="9">
        <v>0.55</v>
      </c>
      <c r="J25" s="9">
        <v>17.0</v>
      </c>
      <c r="K25" s="9">
        <v>17.0</v>
      </c>
      <c r="L25" s="9">
        <v>0.51</v>
      </c>
      <c r="M25" s="13">
        <f t="shared" si="3"/>
        <v>17</v>
      </c>
      <c r="N25" s="13">
        <f t="shared" si="4"/>
        <v>17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1.97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0.55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0.51</v>
      </c>
    </row>
    <row r="26">
      <c r="A26" s="1" t="s">
        <v>31</v>
      </c>
      <c r="B26" s="12">
        <v>19.0</v>
      </c>
      <c r="C26" s="12">
        <v>19.0</v>
      </c>
      <c r="D26" s="7">
        <f t="shared" si="1"/>
        <v>0</v>
      </c>
      <c r="E26" s="12">
        <v>1.21</v>
      </c>
      <c r="F26" s="9">
        <v>19.0</v>
      </c>
      <c r="G26" s="9">
        <v>19.0</v>
      </c>
      <c r="H26" s="7">
        <f t="shared" si="2"/>
        <v>0</v>
      </c>
      <c r="I26" s="9">
        <v>0.28</v>
      </c>
      <c r="J26" s="9">
        <v>19.0</v>
      </c>
      <c r="K26" s="9">
        <v>19.0</v>
      </c>
      <c r="L26" s="9">
        <v>5.74</v>
      </c>
      <c r="M26" s="13">
        <f t="shared" si="3"/>
        <v>19</v>
      </c>
      <c r="N26" s="13">
        <f t="shared" si="4"/>
        <v>19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1.21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0.28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5.74</v>
      </c>
    </row>
    <row r="27">
      <c r="A27" s="1" t="s">
        <v>32</v>
      </c>
      <c r="B27" s="12">
        <v>24.0</v>
      </c>
      <c r="C27" s="12">
        <v>25.0</v>
      </c>
      <c r="D27" s="7">
        <f t="shared" si="1"/>
        <v>0.04166666667</v>
      </c>
      <c r="E27" s="12">
        <v>3600.0</v>
      </c>
      <c r="F27" s="9">
        <v>24.0</v>
      </c>
      <c r="G27" s="9">
        <v>24.0</v>
      </c>
      <c r="H27" s="7">
        <f t="shared" si="2"/>
        <v>0</v>
      </c>
      <c r="I27" s="9">
        <v>3.67</v>
      </c>
      <c r="J27" s="9">
        <v>24.0</v>
      </c>
      <c r="K27" s="9">
        <v>24.0</v>
      </c>
      <c r="L27" s="9">
        <v>27.05</v>
      </c>
      <c r="M27" s="13">
        <f t="shared" si="3"/>
        <v>24</v>
      </c>
      <c r="N27" s="13">
        <f t="shared" si="4"/>
        <v>24</v>
      </c>
      <c r="O27" s="7">
        <f t="shared" si="5"/>
        <v>0</v>
      </c>
      <c r="Q27" s="7">
        <f t="shared" si="6"/>
        <v>0.04166666667</v>
      </c>
      <c r="R27" s="7">
        <f t="shared" si="7"/>
        <v>0</v>
      </c>
      <c r="S27" s="13" t="b">
        <f t="shared" si="8"/>
        <v>1</v>
      </c>
      <c r="T27" s="13">
        <f t="shared" si="9"/>
        <v>3600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3.67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27.05</v>
      </c>
    </row>
    <row r="28">
      <c r="A28" s="1" t="s">
        <v>33</v>
      </c>
      <c r="B28" s="12">
        <v>22.0</v>
      </c>
      <c r="C28" s="12">
        <v>23.0</v>
      </c>
      <c r="D28" s="7">
        <f t="shared" si="1"/>
        <v>0.04545454545</v>
      </c>
      <c r="E28" s="12">
        <v>3600.0</v>
      </c>
      <c r="F28" s="9">
        <v>22.0</v>
      </c>
      <c r="G28" s="9">
        <v>22.0</v>
      </c>
      <c r="H28" s="7">
        <f t="shared" si="2"/>
        <v>0</v>
      </c>
      <c r="I28" s="9">
        <v>0.61</v>
      </c>
      <c r="J28" s="9">
        <v>22.0</v>
      </c>
      <c r="K28" s="9">
        <v>22.0</v>
      </c>
      <c r="L28" s="9">
        <v>0.67</v>
      </c>
      <c r="M28" s="13">
        <f t="shared" si="3"/>
        <v>22</v>
      </c>
      <c r="N28" s="13">
        <f t="shared" si="4"/>
        <v>22</v>
      </c>
      <c r="O28" s="7">
        <f t="shared" si="5"/>
        <v>0</v>
      </c>
      <c r="Q28" s="7">
        <f t="shared" si="6"/>
        <v>0.04545454545</v>
      </c>
      <c r="R28" s="7">
        <f t="shared" si="7"/>
        <v>0</v>
      </c>
      <c r="S28" s="13" t="b">
        <f t="shared" si="8"/>
        <v>1</v>
      </c>
      <c r="T28" s="13">
        <f t="shared" si="9"/>
        <v>3600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0.61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0.67</v>
      </c>
    </row>
    <row r="29">
      <c r="A29" s="1" t="s">
        <v>34</v>
      </c>
      <c r="B29" s="12">
        <v>16.0</v>
      </c>
      <c r="C29" s="12">
        <v>16.0</v>
      </c>
      <c r="D29" s="7">
        <f t="shared" si="1"/>
        <v>0</v>
      </c>
      <c r="E29" s="12">
        <v>55.42</v>
      </c>
      <c r="F29" s="9">
        <v>16.0</v>
      </c>
      <c r="G29" s="9">
        <v>16.0</v>
      </c>
      <c r="H29" s="7">
        <f t="shared" si="2"/>
        <v>0</v>
      </c>
      <c r="I29" s="9">
        <v>7.76</v>
      </c>
      <c r="J29" s="9">
        <v>16.0</v>
      </c>
      <c r="K29" s="9">
        <v>16.0</v>
      </c>
      <c r="L29" s="9">
        <v>7.03</v>
      </c>
      <c r="M29" s="13">
        <f t="shared" si="3"/>
        <v>16</v>
      </c>
      <c r="N29" s="13">
        <f t="shared" si="4"/>
        <v>16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55.42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7.76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7.03</v>
      </c>
    </row>
    <row r="30">
      <c r="A30" s="1" t="s">
        <v>35</v>
      </c>
      <c r="B30" s="12">
        <v>21.0</v>
      </c>
      <c r="C30" s="12">
        <v>21.0</v>
      </c>
      <c r="D30" s="7">
        <f t="shared" si="1"/>
        <v>0</v>
      </c>
      <c r="E30" s="12">
        <v>7.82</v>
      </c>
      <c r="F30" s="9">
        <v>21.0</v>
      </c>
      <c r="G30" s="9">
        <v>21.0</v>
      </c>
      <c r="H30" s="7">
        <f t="shared" si="2"/>
        <v>0</v>
      </c>
      <c r="I30" s="9">
        <v>1.46</v>
      </c>
      <c r="J30" s="9">
        <v>21.0</v>
      </c>
      <c r="K30" s="9">
        <v>21.0</v>
      </c>
      <c r="L30" s="9">
        <v>0.79</v>
      </c>
      <c r="M30" s="13">
        <f t="shared" si="3"/>
        <v>21</v>
      </c>
      <c r="N30" s="13">
        <f t="shared" si="4"/>
        <v>21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7.82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1.46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0.79</v>
      </c>
    </row>
    <row r="31">
      <c r="A31" s="1" t="s">
        <v>36</v>
      </c>
      <c r="B31" s="12">
        <v>10.0</v>
      </c>
      <c r="C31" s="12">
        <v>10.0</v>
      </c>
      <c r="D31" s="7">
        <f t="shared" si="1"/>
        <v>0</v>
      </c>
      <c r="E31" s="12">
        <v>8.29</v>
      </c>
      <c r="F31" s="9">
        <v>10.0</v>
      </c>
      <c r="G31" s="9">
        <v>10.0</v>
      </c>
      <c r="H31" s="7">
        <f t="shared" si="2"/>
        <v>0</v>
      </c>
      <c r="I31" s="9">
        <v>1.2</v>
      </c>
      <c r="J31" s="9">
        <v>10.0</v>
      </c>
      <c r="K31" s="9">
        <v>10.0</v>
      </c>
      <c r="L31" s="9">
        <v>3.78</v>
      </c>
      <c r="M31" s="13">
        <f t="shared" si="3"/>
        <v>10</v>
      </c>
      <c r="N31" s="13">
        <f t="shared" si="4"/>
        <v>10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8.29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1.2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3.78</v>
      </c>
    </row>
    <row r="32">
      <c r="A32" s="1" t="s">
        <v>37</v>
      </c>
      <c r="B32" s="12">
        <v>24.0</v>
      </c>
      <c r="C32" s="12">
        <v>24.0</v>
      </c>
      <c r="D32" s="7">
        <f t="shared" si="1"/>
        <v>0</v>
      </c>
      <c r="E32" s="12">
        <v>706.8</v>
      </c>
      <c r="F32" s="9">
        <v>24.0</v>
      </c>
      <c r="G32" s="9">
        <v>24.0</v>
      </c>
      <c r="H32" s="7">
        <f t="shared" si="2"/>
        <v>0</v>
      </c>
      <c r="I32" s="9">
        <v>13.91</v>
      </c>
      <c r="J32" s="9">
        <v>24.0</v>
      </c>
      <c r="K32" s="9">
        <v>24.0</v>
      </c>
      <c r="L32" s="9">
        <v>0.65</v>
      </c>
      <c r="M32" s="13">
        <f t="shared" si="3"/>
        <v>24</v>
      </c>
      <c r="N32" s="13">
        <f t="shared" si="4"/>
        <v>24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706.8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13.91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0.65</v>
      </c>
      <c r="AD32" s="7">
        <f t="shared" ref="AD32:AE32" si="18">AVERAGE(Q3:Q32)</f>
        <v>0.002904040404</v>
      </c>
      <c r="AE32" s="7">
        <f t="shared" si="18"/>
        <v>0</v>
      </c>
      <c r="AF32" s="13">
        <f>COUNTIF(S3:S32, "TRUE")</f>
        <v>30</v>
      </c>
      <c r="AG32" s="13">
        <f>COUNTIF(Q3:Q32,"=0")</f>
        <v>28</v>
      </c>
      <c r="AH32" s="13">
        <f t="shared" ref="AH32:AJ32" si="19">AVERAGE(T3:T32)</f>
        <v>270.606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1.563666667</v>
      </c>
      <c r="AN32" s="7">
        <f t="shared" si="20"/>
        <v>0</v>
      </c>
      <c r="AO32" s="7">
        <f t="shared" si="20"/>
        <v>0</v>
      </c>
      <c r="AP32" s="13">
        <f>COUNTIF(AA3:AA32, "TRUE")</f>
        <v>30</v>
      </c>
      <c r="AQ32" s="13">
        <f>AVERAGE(AB3:AB32)</f>
        <v>4.442333333</v>
      </c>
    </row>
    <row r="33">
      <c r="A33" s="1" t="s">
        <v>38</v>
      </c>
      <c r="B33" s="12">
        <v>33.0</v>
      </c>
      <c r="C33" s="12">
        <v>34.0</v>
      </c>
      <c r="D33" s="7">
        <f t="shared" si="1"/>
        <v>0.0303030303</v>
      </c>
      <c r="E33" s="12">
        <v>3600.0</v>
      </c>
      <c r="F33" s="9">
        <v>33.0</v>
      </c>
      <c r="G33" s="9">
        <v>34.0</v>
      </c>
      <c r="H33" s="7">
        <f t="shared" si="2"/>
        <v>0.0303030303</v>
      </c>
      <c r="I33" s="9">
        <v>3600.0</v>
      </c>
      <c r="J33" s="9">
        <v>33.0</v>
      </c>
      <c r="K33" s="9">
        <v>33.0</v>
      </c>
      <c r="L33" s="9">
        <v>22.14</v>
      </c>
      <c r="M33" s="13">
        <f t="shared" si="3"/>
        <v>33</v>
      </c>
      <c r="N33" s="13">
        <f t="shared" si="4"/>
        <v>34</v>
      </c>
      <c r="O33" s="7">
        <f t="shared" si="5"/>
        <v>0.0303030303</v>
      </c>
      <c r="Q33" s="7">
        <f t="shared" si="6"/>
        <v>0.0303030303</v>
      </c>
      <c r="R33" s="7">
        <f t="shared" si="7"/>
        <v>0</v>
      </c>
      <c r="S33" s="13" t="b">
        <f t="shared" si="8"/>
        <v>1</v>
      </c>
      <c r="T33" s="13">
        <f t="shared" si="9"/>
        <v>3600</v>
      </c>
      <c r="U33" s="7">
        <f t="shared" si="10"/>
        <v>0.0303030303</v>
      </c>
      <c r="V33" s="7">
        <f t="shared" si="11"/>
        <v>0</v>
      </c>
      <c r="W33" s="13" t="b">
        <f t="shared" si="12"/>
        <v>1</v>
      </c>
      <c r="X33" s="13">
        <f t="shared" si="13"/>
        <v>3600</v>
      </c>
      <c r="Y33" s="7">
        <f t="shared" si="14"/>
        <v>0</v>
      </c>
      <c r="Z33" s="7">
        <f t="shared" si="15"/>
        <v>0</v>
      </c>
      <c r="AA33" s="13" t="b">
        <f t="shared" si="16"/>
        <v>1</v>
      </c>
      <c r="AB33" s="13">
        <f t="shared" si="17"/>
        <v>22.14</v>
      </c>
    </row>
    <row r="34">
      <c r="A34" s="1" t="s">
        <v>39</v>
      </c>
      <c r="B34" s="12">
        <v>37.0</v>
      </c>
      <c r="C34" s="12">
        <v>37.0</v>
      </c>
      <c r="D34" s="7">
        <f t="shared" si="1"/>
        <v>0</v>
      </c>
      <c r="E34" s="12">
        <v>1365.34</v>
      </c>
      <c r="F34" s="9">
        <v>37.0</v>
      </c>
      <c r="G34" s="9">
        <v>37.0</v>
      </c>
      <c r="H34" s="7">
        <f t="shared" si="2"/>
        <v>0</v>
      </c>
      <c r="I34" s="9">
        <v>34.88</v>
      </c>
      <c r="J34" s="9">
        <v>37.0</v>
      </c>
      <c r="K34" s="9">
        <v>37.0</v>
      </c>
      <c r="L34" s="9">
        <v>28.5</v>
      </c>
      <c r="M34" s="13">
        <f t="shared" si="3"/>
        <v>37</v>
      </c>
      <c r="N34" s="13">
        <f t="shared" si="4"/>
        <v>37</v>
      </c>
      <c r="O34" s="7">
        <f t="shared" si="5"/>
        <v>0</v>
      </c>
      <c r="Q34" s="7">
        <f t="shared" si="6"/>
        <v>0</v>
      </c>
      <c r="R34" s="7">
        <f t="shared" si="7"/>
        <v>0</v>
      </c>
      <c r="S34" s="13" t="b">
        <f t="shared" si="8"/>
        <v>1</v>
      </c>
      <c r="T34" s="13">
        <f t="shared" si="9"/>
        <v>1365.34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34.88</v>
      </c>
      <c r="Y34" s="7">
        <f t="shared" si="14"/>
        <v>0</v>
      </c>
      <c r="Z34" s="7">
        <f t="shared" si="15"/>
        <v>0</v>
      </c>
      <c r="AA34" s="13" t="b">
        <f t="shared" si="16"/>
        <v>1</v>
      </c>
      <c r="AB34" s="13">
        <f t="shared" si="17"/>
        <v>28.5</v>
      </c>
    </row>
    <row r="35">
      <c r="A35" s="1" t="s">
        <v>40</v>
      </c>
      <c r="B35" s="12">
        <v>31.0</v>
      </c>
      <c r="C35" s="12">
        <v>38.0</v>
      </c>
      <c r="D35" s="7">
        <f t="shared" si="1"/>
        <v>0.2258064516</v>
      </c>
      <c r="E35" s="12">
        <v>3600.0</v>
      </c>
      <c r="F35" s="9">
        <v>32.0</v>
      </c>
      <c r="G35" s="9">
        <v>32.0</v>
      </c>
      <c r="H35" s="7">
        <f t="shared" si="2"/>
        <v>0</v>
      </c>
      <c r="I35" s="9">
        <v>2720.78</v>
      </c>
      <c r="J35" s="9">
        <v>32.0</v>
      </c>
      <c r="K35" s="9">
        <v>32.0</v>
      </c>
      <c r="L35" s="9">
        <v>12.49</v>
      </c>
      <c r="M35" s="13">
        <f t="shared" si="3"/>
        <v>32</v>
      </c>
      <c r="N35" s="13">
        <f t="shared" si="4"/>
        <v>32</v>
      </c>
      <c r="O35" s="7">
        <f t="shared" si="5"/>
        <v>0</v>
      </c>
      <c r="Q35" s="7">
        <f t="shared" si="6"/>
        <v>0.2258064516</v>
      </c>
      <c r="R35" s="7">
        <f t="shared" si="7"/>
        <v>0.03225806452</v>
      </c>
      <c r="S35" s="13" t="b">
        <f t="shared" si="8"/>
        <v>0</v>
      </c>
      <c r="T35" s="13">
        <f t="shared" si="9"/>
        <v>3600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2720.78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12.49</v>
      </c>
    </row>
    <row r="36">
      <c r="A36" s="1" t="s">
        <v>41</v>
      </c>
      <c r="B36" s="12">
        <v>63.0</v>
      </c>
      <c r="C36" s="12">
        <v>64.0</v>
      </c>
      <c r="D36" s="7">
        <f t="shared" si="1"/>
        <v>0.01587301587</v>
      </c>
      <c r="E36" s="12">
        <v>3600.0</v>
      </c>
      <c r="F36" s="9">
        <v>63.0</v>
      </c>
      <c r="G36" s="9">
        <v>63.0</v>
      </c>
      <c r="H36" s="7">
        <f t="shared" si="2"/>
        <v>0</v>
      </c>
      <c r="I36" s="9">
        <v>24.12</v>
      </c>
      <c r="J36" s="9">
        <v>63.0</v>
      </c>
      <c r="K36" s="9">
        <v>63.0</v>
      </c>
      <c r="L36" s="9">
        <v>63.04</v>
      </c>
      <c r="M36" s="13">
        <f t="shared" si="3"/>
        <v>63</v>
      </c>
      <c r="N36" s="13">
        <f t="shared" si="4"/>
        <v>63</v>
      </c>
      <c r="O36" s="7">
        <f t="shared" si="5"/>
        <v>0</v>
      </c>
      <c r="Q36" s="7">
        <f t="shared" si="6"/>
        <v>0.01587301587</v>
      </c>
      <c r="R36" s="7">
        <f t="shared" si="7"/>
        <v>0</v>
      </c>
      <c r="S36" s="13" t="b">
        <f t="shared" si="8"/>
        <v>1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24.12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63.04</v>
      </c>
    </row>
    <row r="37">
      <c r="A37" s="1" t="s">
        <v>42</v>
      </c>
      <c r="B37" s="12">
        <v>50.0</v>
      </c>
      <c r="C37" s="12">
        <v>50.0</v>
      </c>
      <c r="D37" s="7">
        <f t="shared" si="1"/>
        <v>0</v>
      </c>
      <c r="E37" s="12">
        <v>115.15</v>
      </c>
      <c r="F37" s="9">
        <v>50.0</v>
      </c>
      <c r="G37" s="9">
        <v>50.0</v>
      </c>
      <c r="H37" s="7">
        <f t="shared" si="2"/>
        <v>0</v>
      </c>
      <c r="I37" s="9">
        <v>22.43</v>
      </c>
      <c r="J37" s="9">
        <v>50.0</v>
      </c>
      <c r="K37" s="9">
        <v>50.0</v>
      </c>
      <c r="L37" s="9">
        <v>15.64</v>
      </c>
      <c r="M37" s="13">
        <f t="shared" si="3"/>
        <v>50</v>
      </c>
      <c r="N37" s="13">
        <f t="shared" si="4"/>
        <v>50</v>
      </c>
      <c r="O37" s="7">
        <f t="shared" si="5"/>
        <v>0</v>
      </c>
      <c r="Q37" s="7">
        <f t="shared" si="6"/>
        <v>0</v>
      </c>
      <c r="R37" s="7">
        <f t="shared" si="7"/>
        <v>0</v>
      </c>
      <c r="S37" s="13" t="b">
        <f t="shared" si="8"/>
        <v>1</v>
      </c>
      <c r="T37" s="13">
        <f t="shared" si="9"/>
        <v>115.15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22.43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15.64</v>
      </c>
    </row>
    <row r="38">
      <c r="A38" s="1" t="s">
        <v>43</v>
      </c>
      <c r="B38" s="12">
        <v>44.0</v>
      </c>
      <c r="C38" s="12">
        <v>56.0</v>
      </c>
      <c r="D38" s="7">
        <f t="shared" si="1"/>
        <v>0.2727272727</v>
      </c>
      <c r="E38" s="12">
        <v>3600.0</v>
      </c>
      <c r="F38" s="9">
        <v>44.0</v>
      </c>
      <c r="G38" s="9">
        <v>47.0</v>
      </c>
      <c r="H38" s="7">
        <f t="shared" si="2"/>
        <v>0.06818181818</v>
      </c>
      <c r="I38" s="9">
        <v>3600.0</v>
      </c>
      <c r="J38" s="9">
        <v>44.0</v>
      </c>
      <c r="K38" s="9">
        <v>44.0</v>
      </c>
      <c r="L38" s="9">
        <v>4.58</v>
      </c>
      <c r="M38" s="13">
        <f t="shared" si="3"/>
        <v>44</v>
      </c>
      <c r="N38" s="13">
        <f t="shared" si="4"/>
        <v>47</v>
      </c>
      <c r="O38" s="7">
        <f t="shared" si="5"/>
        <v>0.06818181818</v>
      </c>
      <c r="Q38" s="7">
        <f t="shared" si="6"/>
        <v>0.2727272727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0.06818181818</v>
      </c>
      <c r="V38" s="7">
        <f t="shared" si="11"/>
        <v>0</v>
      </c>
      <c r="W38" s="13" t="b">
        <f t="shared" si="12"/>
        <v>1</v>
      </c>
      <c r="X38" s="13">
        <f t="shared" si="13"/>
        <v>3600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4.58</v>
      </c>
    </row>
    <row r="39">
      <c r="A39" s="1" t="s">
        <v>44</v>
      </c>
      <c r="B39" s="12">
        <v>55.0</v>
      </c>
      <c r="C39" s="12">
        <v>58.0</v>
      </c>
      <c r="D39" s="7">
        <f t="shared" si="1"/>
        <v>0.05454545455</v>
      </c>
      <c r="E39" s="12">
        <v>3600.0</v>
      </c>
      <c r="F39" s="9">
        <v>55.0</v>
      </c>
      <c r="G39" s="9">
        <v>56.0</v>
      </c>
      <c r="H39" s="7">
        <f t="shared" si="2"/>
        <v>0.01818181818</v>
      </c>
      <c r="I39" s="9">
        <v>3600.0</v>
      </c>
      <c r="J39" s="9">
        <v>55.0</v>
      </c>
      <c r="K39" s="9">
        <v>55.0</v>
      </c>
      <c r="L39" s="9">
        <v>23.58</v>
      </c>
      <c r="M39" s="13">
        <f t="shared" si="3"/>
        <v>55</v>
      </c>
      <c r="N39" s="13">
        <f t="shared" si="4"/>
        <v>56</v>
      </c>
      <c r="O39" s="7">
        <f t="shared" si="5"/>
        <v>0.01818181818</v>
      </c>
      <c r="Q39" s="7">
        <f t="shared" si="6"/>
        <v>0.05454545455</v>
      </c>
      <c r="R39" s="7">
        <f t="shared" si="7"/>
        <v>0</v>
      </c>
      <c r="S39" s="13" t="b">
        <f t="shared" si="8"/>
        <v>1</v>
      </c>
      <c r="T39" s="13">
        <f t="shared" si="9"/>
        <v>3600</v>
      </c>
      <c r="U39" s="7">
        <f t="shared" si="10"/>
        <v>0.01818181818</v>
      </c>
      <c r="V39" s="7">
        <f t="shared" si="11"/>
        <v>0</v>
      </c>
      <c r="W39" s="13" t="b">
        <f t="shared" si="12"/>
        <v>1</v>
      </c>
      <c r="X39" s="13">
        <f t="shared" si="13"/>
        <v>3600</v>
      </c>
      <c r="Y39" s="7">
        <f t="shared" si="14"/>
        <v>0</v>
      </c>
      <c r="Z39" s="7">
        <f t="shared" si="15"/>
        <v>0</v>
      </c>
      <c r="AA39" s="13" t="b">
        <f t="shared" si="16"/>
        <v>1</v>
      </c>
      <c r="AB39" s="13">
        <f t="shared" si="17"/>
        <v>23.58</v>
      </c>
    </row>
    <row r="40">
      <c r="A40" s="1" t="s">
        <v>45</v>
      </c>
      <c r="B40" s="12">
        <v>59.0</v>
      </c>
      <c r="C40" s="12">
        <v>61.0</v>
      </c>
      <c r="D40" s="7">
        <f t="shared" si="1"/>
        <v>0.03389830508</v>
      </c>
      <c r="E40" s="12">
        <v>3600.0</v>
      </c>
      <c r="F40" s="9">
        <v>59.0</v>
      </c>
      <c r="G40" s="9">
        <v>59.0</v>
      </c>
      <c r="H40" s="7">
        <f t="shared" si="2"/>
        <v>0</v>
      </c>
      <c r="I40" s="9">
        <v>203.44</v>
      </c>
      <c r="J40" s="9">
        <v>59.0</v>
      </c>
      <c r="K40" s="9">
        <v>59.0</v>
      </c>
      <c r="L40" s="9">
        <v>8.83</v>
      </c>
      <c r="M40" s="13">
        <f t="shared" si="3"/>
        <v>59</v>
      </c>
      <c r="N40" s="13">
        <f t="shared" si="4"/>
        <v>59</v>
      </c>
      <c r="O40" s="7">
        <f t="shared" si="5"/>
        <v>0</v>
      </c>
      <c r="Q40" s="7">
        <f t="shared" si="6"/>
        <v>0.03389830508</v>
      </c>
      <c r="R40" s="7">
        <f t="shared" si="7"/>
        <v>0</v>
      </c>
      <c r="S40" s="13" t="b">
        <f t="shared" si="8"/>
        <v>1</v>
      </c>
      <c r="T40" s="13">
        <f t="shared" si="9"/>
        <v>3600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203.44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8.83</v>
      </c>
    </row>
    <row r="41">
      <c r="A41" s="1" t="s">
        <v>46</v>
      </c>
      <c r="B41" s="12">
        <v>51.0</v>
      </c>
      <c r="C41" s="12">
        <v>52.0</v>
      </c>
      <c r="D41" s="7">
        <f t="shared" si="1"/>
        <v>0.01960784314</v>
      </c>
      <c r="E41" s="12">
        <v>3600.0</v>
      </c>
      <c r="F41" s="9">
        <v>51.0</v>
      </c>
      <c r="G41" s="9">
        <v>57.0</v>
      </c>
      <c r="H41" s="7">
        <f t="shared" si="2"/>
        <v>0.1176470588</v>
      </c>
      <c r="I41" s="9">
        <v>3600.0</v>
      </c>
      <c r="J41" s="9">
        <v>51.0</v>
      </c>
      <c r="K41" s="9">
        <v>51.0</v>
      </c>
      <c r="L41" s="9">
        <v>27.57</v>
      </c>
      <c r="M41" s="13">
        <f t="shared" si="3"/>
        <v>51</v>
      </c>
      <c r="N41" s="13">
        <f t="shared" si="4"/>
        <v>52</v>
      </c>
      <c r="O41" s="7">
        <f t="shared" si="5"/>
        <v>0.01960784314</v>
      </c>
      <c r="Q41" s="7">
        <f t="shared" si="6"/>
        <v>0.01960784314</v>
      </c>
      <c r="R41" s="7">
        <f t="shared" si="7"/>
        <v>0</v>
      </c>
      <c r="S41" s="13" t="b">
        <f t="shared" si="8"/>
        <v>1</v>
      </c>
      <c r="T41" s="13">
        <f t="shared" si="9"/>
        <v>3600</v>
      </c>
      <c r="U41" s="7">
        <f t="shared" si="10"/>
        <v>0.1176470588</v>
      </c>
      <c r="V41" s="7">
        <f t="shared" si="11"/>
        <v>0</v>
      </c>
      <c r="W41" s="13" t="b">
        <f t="shared" si="12"/>
        <v>1</v>
      </c>
      <c r="X41" s="13">
        <f t="shared" si="13"/>
        <v>3600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27.57</v>
      </c>
    </row>
    <row r="42">
      <c r="A42" s="1" t="s">
        <v>47</v>
      </c>
      <c r="B42" s="12">
        <v>67.0</v>
      </c>
      <c r="C42" s="12">
        <v>69.0</v>
      </c>
      <c r="D42" s="7">
        <f t="shared" si="1"/>
        <v>0.02985074627</v>
      </c>
      <c r="E42" s="12">
        <v>3600.0</v>
      </c>
      <c r="F42" s="9">
        <v>69.0</v>
      </c>
      <c r="G42" s="9">
        <v>69.0</v>
      </c>
      <c r="H42" s="7">
        <f t="shared" si="2"/>
        <v>0</v>
      </c>
      <c r="I42" s="9">
        <v>165.58</v>
      </c>
      <c r="J42" s="9">
        <v>69.0</v>
      </c>
      <c r="K42" s="9">
        <v>69.0</v>
      </c>
      <c r="L42" s="9">
        <v>37.54</v>
      </c>
      <c r="M42" s="13">
        <f t="shared" si="3"/>
        <v>69</v>
      </c>
      <c r="N42" s="13">
        <f t="shared" si="4"/>
        <v>69</v>
      </c>
      <c r="O42" s="7">
        <f t="shared" si="5"/>
        <v>0</v>
      </c>
      <c r="Q42" s="7">
        <f t="shared" si="6"/>
        <v>0.02985074627</v>
      </c>
      <c r="R42" s="7">
        <f t="shared" si="7"/>
        <v>0.02985074627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165.58</v>
      </c>
      <c r="Y42" s="7">
        <f t="shared" si="14"/>
        <v>0</v>
      </c>
      <c r="Z42" s="7">
        <f t="shared" si="15"/>
        <v>0</v>
      </c>
      <c r="AA42" s="13" t="b">
        <f t="shared" si="16"/>
        <v>1</v>
      </c>
      <c r="AB42" s="13">
        <f t="shared" si="17"/>
        <v>37.54</v>
      </c>
    </row>
    <row r="43">
      <c r="A43" s="1" t="s">
        <v>48</v>
      </c>
      <c r="B43" s="12">
        <v>76.0</v>
      </c>
      <c r="C43" s="12">
        <v>80.0</v>
      </c>
      <c r="D43" s="7">
        <f t="shared" si="1"/>
        <v>0.05263157895</v>
      </c>
      <c r="E43" s="12">
        <v>3600.0</v>
      </c>
      <c r="F43" s="9">
        <v>79.0</v>
      </c>
      <c r="G43" s="9">
        <v>79.0</v>
      </c>
      <c r="H43" s="7">
        <f t="shared" si="2"/>
        <v>0</v>
      </c>
      <c r="I43" s="9">
        <v>459.99</v>
      </c>
      <c r="J43" s="9">
        <v>79.0</v>
      </c>
      <c r="K43" s="9">
        <v>79.0</v>
      </c>
      <c r="L43" s="9">
        <v>36.2</v>
      </c>
      <c r="M43" s="13">
        <f t="shared" si="3"/>
        <v>79</v>
      </c>
      <c r="N43" s="13">
        <f t="shared" si="4"/>
        <v>79</v>
      </c>
      <c r="O43" s="7">
        <f t="shared" si="5"/>
        <v>0</v>
      </c>
      <c r="Q43" s="7">
        <f t="shared" si="6"/>
        <v>0.05263157895</v>
      </c>
      <c r="R43" s="7">
        <f t="shared" si="7"/>
        <v>0.03947368421</v>
      </c>
      <c r="S43" s="13" t="b">
        <f t="shared" si="8"/>
        <v>0</v>
      </c>
      <c r="T43" s="13">
        <f t="shared" si="9"/>
        <v>3600</v>
      </c>
      <c r="U43" s="7">
        <f t="shared" si="10"/>
        <v>0</v>
      </c>
      <c r="V43" s="7">
        <f t="shared" si="11"/>
        <v>0</v>
      </c>
      <c r="W43" s="13" t="b">
        <f t="shared" si="12"/>
        <v>1</v>
      </c>
      <c r="X43" s="13">
        <f t="shared" si="13"/>
        <v>459.99</v>
      </c>
      <c r="Y43" s="7">
        <f t="shared" si="14"/>
        <v>0</v>
      </c>
      <c r="Z43" s="7">
        <f t="shared" si="15"/>
        <v>0</v>
      </c>
      <c r="AA43" s="13" t="b">
        <f t="shared" si="16"/>
        <v>1</v>
      </c>
      <c r="AB43" s="13">
        <f t="shared" si="17"/>
        <v>36.2</v>
      </c>
    </row>
    <row r="44">
      <c r="A44" s="1" t="s">
        <v>49</v>
      </c>
      <c r="B44" s="12">
        <v>76.0</v>
      </c>
      <c r="C44" s="12">
        <v>77.0</v>
      </c>
      <c r="D44" s="7">
        <f t="shared" si="1"/>
        <v>0.01315789474</v>
      </c>
      <c r="E44" s="12">
        <v>3600.0</v>
      </c>
      <c r="F44" s="9">
        <v>77.0</v>
      </c>
      <c r="G44" s="9">
        <v>77.0</v>
      </c>
      <c r="H44" s="7">
        <f t="shared" si="2"/>
        <v>0</v>
      </c>
      <c r="I44" s="9">
        <v>293.0</v>
      </c>
      <c r="J44" s="9">
        <v>77.0</v>
      </c>
      <c r="K44" s="9">
        <v>75.9</v>
      </c>
      <c r="L44" s="9">
        <v>48.82</v>
      </c>
      <c r="M44" s="13">
        <f t="shared" si="3"/>
        <v>77</v>
      </c>
      <c r="N44" s="13">
        <f t="shared" si="4"/>
        <v>77</v>
      </c>
      <c r="O44" s="7">
        <f t="shared" si="5"/>
        <v>0</v>
      </c>
      <c r="Q44" s="7">
        <f t="shared" si="6"/>
        <v>0.01315789474</v>
      </c>
      <c r="R44" s="7">
        <f t="shared" si="7"/>
        <v>0.01315789474</v>
      </c>
      <c r="S44" s="13" t="b">
        <f t="shared" si="8"/>
        <v>0</v>
      </c>
      <c r="T44" s="13">
        <f t="shared" si="9"/>
        <v>3600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293</v>
      </c>
      <c r="Y44" s="7">
        <f t="shared" si="14"/>
        <v>0</v>
      </c>
      <c r="Z44" s="7">
        <f t="shared" si="15"/>
        <v>0.01449275362</v>
      </c>
      <c r="AA44" s="13" t="b">
        <f t="shared" si="16"/>
        <v>1</v>
      </c>
      <c r="AB44" s="13">
        <f t="shared" si="17"/>
        <v>48.82</v>
      </c>
    </row>
    <row r="45">
      <c r="A45" s="1" t="s">
        <v>50</v>
      </c>
      <c r="B45" s="12">
        <v>87.0</v>
      </c>
      <c r="C45" s="12">
        <v>90.0</v>
      </c>
      <c r="D45" s="7">
        <f t="shared" si="1"/>
        <v>0.03448275862</v>
      </c>
      <c r="E45" s="12">
        <v>3600.0</v>
      </c>
      <c r="F45" s="9">
        <v>89.0</v>
      </c>
      <c r="G45" s="9">
        <v>89.0</v>
      </c>
      <c r="H45" s="7">
        <f t="shared" si="2"/>
        <v>0</v>
      </c>
      <c r="I45" s="9">
        <v>1682.11</v>
      </c>
      <c r="J45" s="9">
        <v>89.0</v>
      </c>
      <c r="K45" s="9">
        <v>88.9</v>
      </c>
      <c r="L45" s="9">
        <v>48.21</v>
      </c>
      <c r="M45" s="13">
        <f t="shared" si="3"/>
        <v>89</v>
      </c>
      <c r="N45" s="13">
        <f t="shared" si="4"/>
        <v>89</v>
      </c>
      <c r="O45" s="7">
        <f t="shared" si="5"/>
        <v>0</v>
      </c>
      <c r="Q45" s="7">
        <f t="shared" si="6"/>
        <v>0.03448275862</v>
      </c>
      <c r="R45" s="7">
        <f t="shared" si="7"/>
        <v>0.02298850575</v>
      </c>
      <c r="S45" s="13" t="b">
        <f t="shared" si="8"/>
        <v>0</v>
      </c>
      <c r="T45" s="13">
        <f t="shared" si="9"/>
        <v>3600</v>
      </c>
      <c r="U45" s="7">
        <f t="shared" si="10"/>
        <v>0</v>
      </c>
      <c r="V45" s="7">
        <f t="shared" si="11"/>
        <v>0</v>
      </c>
      <c r="W45" s="13" t="b">
        <f t="shared" si="12"/>
        <v>1</v>
      </c>
      <c r="X45" s="13">
        <f t="shared" si="13"/>
        <v>1682.11</v>
      </c>
      <c r="Y45" s="7">
        <f t="shared" si="14"/>
        <v>0</v>
      </c>
      <c r="Z45" s="7">
        <f t="shared" si="15"/>
        <v>0.001124859393</v>
      </c>
      <c r="AA45" s="13" t="b">
        <f t="shared" si="16"/>
        <v>1</v>
      </c>
      <c r="AB45" s="13">
        <f t="shared" si="17"/>
        <v>48.21</v>
      </c>
    </row>
    <row r="46">
      <c r="A46" s="1" t="s">
        <v>51</v>
      </c>
      <c r="B46" s="12">
        <v>59.0</v>
      </c>
      <c r="C46" s="12">
        <v>81.0</v>
      </c>
      <c r="D46" s="7">
        <f t="shared" si="1"/>
        <v>0.3728813559</v>
      </c>
      <c r="E46" s="12">
        <v>3600.0</v>
      </c>
      <c r="F46" s="9">
        <v>60.0</v>
      </c>
      <c r="G46" s="9">
        <v>63.0</v>
      </c>
      <c r="H46" s="7">
        <f t="shared" si="2"/>
        <v>0.05</v>
      </c>
      <c r="I46" s="9">
        <v>3600.0</v>
      </c>
      <c r="J46" s="9">
        <v>60.0</v>
      </c>
      <c r="K46" s="9">
        <v>60.0</v>
      </c>
      <c r="L46" s="9">
        <v>48.81</v>
      </c>
      <c r="M46" s="13">
        <f t="shared" si="3"/>
        <v>60</v>
      </c>
      <c r="N46" s="13">
        <f t="shared" si="4"/>
        <v>63</v>
      </c>
      <c r="O46" s="7">
        <f t="shared" si="5"/>
        <v>0.05</v>
      </c>
      <c r="Q46" s="7">
        <f t="shared" si="6"/>
        <v>0.3728813559</v>
      </c>
      <c r="R46" s="7">
        <f t="shared" si="7"/>
        <v>0.01694915254</v>
      </c>
      <c r="S46" s="13" t="b">
        <f t="shared" si="8"/>
        <v>0</v>
      </c>
      <c r="T46" s="13">
        <f t="shared" si="9"/>
        <v>3600</v>
      </c>
      <c r="U46" s="7">
        <f t="shared" si="10"/>
        <v>0.05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48.81</v>
      </c>
    </row>
    <row r="47">
      <c r="A47" s="1" t="s">
        <v>52</v>
      </c>
      <c r="B47" s="12">
        <v>69.0</v>
      </c>
      <c r="C47" s="12">
        <v>78.0</v>
      </c>
      <c r="D47" s="7">
        <f t="shared" si="1"/>
        <v>0.1304347826</v>
      </c>
      <c r="E47" s="12">
        <v>3600.0</v>
      </c>
      <c r="F47" s="9">
        <v>77.0</v>
      </c>
      <c r="G47" s="9">
        <v>77.0</v>
      </c>
      <c r="H47" s="7">
        <f t="shared" si="2"/>
        <v>0</v>
      </c>
      <c r="I47" s="9">
        <v>585.56</v>
      </c>
      <c r="J47" s="9">
        <v>77.0</v>
      </c>
      <c r="K47" s="9">
        <v>77.0</v>
      </c>
      <c r="L47" s="9">
        <v>60.2</v>
      </c>
      <c r="M47" s="13">
        <f t="shared" si="3"/>
        <v>77</v>
      </c>
      <c r="N47" s="13">
        <f t="shared" si="4"/>
        <v>77</v>
      </c>
      <c r="O47" s="7">
        <f t="shared" si="5"/>
        <v>0</v>
      </c>
      <c r="Q47" s="7">
        <f t="shared" si="6"/>
        <v>0.1304347826</v>
      </c>
      <c r="R47" s="7">
        <f t="shared" si="7"/>
        <v>0.115942029</v>
      </c>
      <c r="S47" s="13" t="b">
        <f t="shared" si="8"/>
        <v>0</v>
      </c>
      <c r="T47" s="13">
        <f t="shared" si="9"/>
        <v>3600</v>
      </c>
      <c r="U47" s="7">
        <f t="shared" si="10"/>
        <v>0</v>
      </c>
      <c r="V47" s="7">
        <f t="shared" si="11"/>
        <v>0</v>
      </c>
      <c r="W47" s="13" t="b">
        <f t="shared" si="12"/>
        <v>1</v>
      </c>
      <c r="X47" s="13">
        <f t="shared" si="13"/>
        <v>585.56</v>
      </c>
      <c r="Y47" s="7">
        <f t="shared" si="14"/>
        <v>0</v>
      </c>
      <c r="Z47" s="7">
        <f t="shared" si="15"/>
        <v>0</v>
      </c>
      <c r="AA47" s="13" t="b">
        <f t="shared" si="16"/>
        <v>1</v>
      </c>
      <c r="AB47" s="13">
        <f t="shared" si="17"/>
        <v>60.2</v>
      </c>
    </row>
    <row r="48">
      <c r="A48" s="1" t="s">
        <v>53</v>
      </c>
      <c r="B48" s="12">
        <v>80.0</v>
      </c>
      <c r="C48" s="12">
        <v>96.0</v>
      </c>
      <c r="D48" s="7">
        <f t="shared" si="1"/>
        <v>0.2</v>
      </c>
      <c r="E48" s="12">
        <v>3600.0</v>
      </c>
      <c r="F48" s="9">
        <v>91.0</v>
      </c>
      <c r="G48" s="9">
        <v>91.0</v>
      </c>
      <c r="H48" s="7">
        <f t="shared" si="2"/>
        <v>0</v>
      </c>
      <c r="I48" s="9">
        <v>1943.71</v>
      </c>
      <c r="J48" s="9">
        <v>91.0</v>
      </c>
      <c r="K48" s="9">
        <v>91.0</v>
      </c>
      <c r="L48" s="9">
        <v>49.21</v>
      </c>
      <c r="M48" s="13">
        <f t="shared" si="3"/>
        <v>91</v>
      </c>
      <c r="N48" s="13">
        <f t="shared" si="4"/>
        <v>91</v>
      </c>
      <c r="O48" s="7">
        <f t="shared" si="5"/>
        <v>0</v>
      </c>
      <c r="Q48" s="7">
        <f t="shared" si="6"/>
        <v>0.2</v>
      </c>
      <c r="R48" s="7">
        <f t="shared" si="7"/>
        <v>0.1375</v>
      </c>
      <c r="S48" s="13" t="b">
        <f t="shared" si="8"/>
        <v>0</v>
      </c>
      <c r="T48" s="13">
        <f t="shared" si="9"/>
        <v>3600</v>
      </c>
      <c r="U48" s="7">
        <f t="shared" si="10"/>
        <v>0</v>
      </c>
      <c r="V48" s="7">
        <f t="shared" si="11"/>
        <v>0</v>
      </c>
      <c r="W48" s="13" t="b">
        <f t="shared" si="12"/>
        <v>1</v>
      </c>
      <c r="X48" s="13">
        <f t="shared" si="13"/>
        <v>1943.71</v>
      </c>
      <c r="Y48" s="7">
        <f t="shared" si="14"/>
        <v>0</v>
      </c>
      <c r="Z48" s="7">
        <f t="shared" si="15"/>
        <v>0</v>
      </c>
      <c r="AA48" s="13" t="b">
        <f t="shared" si="16"/>
        <v>1</v>
      </c>
      <c r="AB48" s="13">
        <f t="shared" si="17"/>
        <v>49.21</v>
      </c>
    </row>
    <row r="49">
      <c r="A49" s="1" t="s">
        <v>54</v>
      </c>
      <c r="B49" s="12">
        <v>97.0</v>
      </c>
      <c r="C49" s="12">
        <v>100.0</v>
      </c>
      <c r="D49" s="7">
        <f t="shared" si="1"/>
        <v>0.03092783505</v>
      </c>
      <c r="E49" s="12">
        <v>3600.0</v>
      </c>
      <c r="F49" s="9">
        <v>99.0</v>
      </c>
      <c r="G49" s="9">
        <v>99.0</v>
      </c>
      <c r="H49" s="7">
        <f t="shared" si="2"/>
        <v>0</v>
      </c>
      <c r="I49" s="9">
        <v>2112.78</v>
      </c>
      <c r="J49" s="9">
        <v>98.0</v>
      </c>
      <c r="K49" s="9">
        <v>98.0</v>
      </c>
      <c r="L49" s="9">
        <v>96.91</v>
      </c>
      <c r="M49" s="13">
        <f t="shared" si="3"/>
        <v>99</v>
      </c>
      <c r="N49" s="13">
        <f t="shared" si="4"/>
        <v>99</v>
      </c>
      <c r="O49" s="7">
        <f t="shared" si="5"/>
        <v>0</v>
      </c>
      <c r="Q49" s="7">
        <f t="shared" si="6"/>
        <v>0.03092783505</v>
      </c>
      <c r="R49" s="7">
        <f t="shared" si="7"/>
        <v>0.0206185567</v>
      </c>
      <c r="S49" s="13" t="b">
        <f t="shared" si="8"/>
        <v>0</v>
      </c>
      <c r="T49" s="13">
        <f t="shared" si="9"/>
        <v>3600</v>
      </c>
      <c r="U49" s="7">
        <f t="shared" si="10"/>
        <v>0</v>
      </c>
      <c r="V49" s="7">
        <f t="shared" si="11"/>
        <v>0</v>
      </c>
      <c r="W49" s="13" t="b">
        <f t="shared" si="12"/>
        <v>1</v>
      </c>
      <c r="X49" s="13">
        <f t="shared" si="13"/>
        <v>2112.78</v>
      </c>
      <c r="Y49" s="7">
        <f t="shared" si="14"/>
        <v>0.01020408163</v>
      </c>
      <c r="Z49" s="7">
        <f t="shared" si="15"/>
        <v>0.01020408163</v>
      </c>
      <c r="AA49" s="13" t="b">
        <f t="shared" si="16"/>
        <v>0</v>
      </c>
      <c r="AB49" s="13">
        <f t="shared" si="17"/>
        <v>96.91</v>
      </c>
    </row>
    <row r="50">
      <c r="A50" s="1" t="s">
        <v>55</v>
      </c>
      <c r="B50" s="12">
        <v>78.0</v>
      </c>
      <c r="C50" s="12">
        <v>100.0</v>
      </c>
      <c r="D50" s="7">
        <f t="shared" si="1"/>
        <v>0.2820512821</v>
      </c>
      <c r="E50" s="12">
        <v>3600.0</v>
      </c>
      <c r="F50" s="9">
        <v>81.0</v>
      </c>
      <c r="G50" s="9">
        <v>88.0</v>
      </c>
      <c r="H50" s="7">
        <f t="shared" si="2"/>
        <v>0.08641975309</v>
      </c>
      <c r="I50" s="9">
        <v>3600.0</v>
      </c>
      <c r="J50" s="9">
        <v>81.0</v>
      </c>
      <c r="K50" s="9">
        <v>81.0</v>
      </c>
      <c r="L50" s="9">
        <v>56.39</v>
      </c>
      <c r="M50" s="13">
        <f t="shared" si="3"/>
        <v>81</v>
      </c>
      <c r="N50" s="13">
        <f t="shared" si="4"/>
        <v>88</v>
      </c>
      <c r="O50" s="7">
        <f t="shared" si="5"/>
        <v>0.08641975309</v>
      </c>
      <c r="Q50" s="7">
        <f t="shared" si="6"/>
        <v>0.2820512821</v>
      </c>
      <c r="R50" s="7">
        <f t="shared" si="7"/>
        <v>0.03846153846</v>
      </c>
      <c r="S50" s="13" t="b">
        <f t="shared" si="8"/>
        <v>0</v>
      </c>
      <c r="T50" s="13">
        <f t="shared" si="9"/>
        <v>3600</v>
      </c>
      <c r="U50" s="7">
        <f t="shared" si="10"/>
        <v>0.08641975309</v>
      </c>
      <c r="V50" s="7">
        <f t="shared" si="11"/>
        <v>0</v>
      </c>
      <c r="W50" s="13" t="b">
        <f t="shared" si="12"/>
        <v>1</v>
      </c>
      <c r="X50" s="13">
        <f t="shared" si="13"/>
        <v>3600</v>
      </c>
      <c r="Y50" s="7">
        <f t="shared" si="14"/>
        <v>0</v>
      </c>
      <c r="Z50" s="7">
        <f t="shared" si="15"/>
        <v>0</v>
      </c>
      <c r="AA50" s="13" t="b">
        <f t="shared" si="16"/>
        <v>1</v>
      </c>
      <c r="AB50" s="13">
        <f t="shared" si="17"/>
        <v>56.39</v>
      </c>
    </row>
    <row r="51">
      <c r="A51" s="1" t="s">
        <v>56</v>
      </c>
      <c r="B51" s="12">
        <v>95.0</v>
      </c>
      <c r="C51" s="12">
        <v>99.0</v>
      </c>
      <c r="D51" s="7">
        <f t="shared" si="1"/>
        <v>0.04210526316</v>
      </c>
      <c r="E51" s="12">
        <v>3600.0</v>
      </c>
      <c r="F51" s="9">
        <v>99.0</v>
      </c>
      <c r="G51" s="9">
        <v>99.0</v>
      </c>
      <c r="H51" s="7">
        <f t="shared" si="2"/>
        <v>0</v>
      </c>
      <c r="I51" s="9">
        <v>357.4</v>
      </c>
      <c r="J51" s="9">
        <v>98.0</v>
      </c>
      <c r="K51" s="9">
        <v>97.6</v>
      </c>
      <c r="L51" s="9">
        <v>74.47</v>
      </c>
      <c r="M51" s="13">
        <f t="shared" si="3"/>
        <v>99</v>
      </c>
      <c r="N51" s="13">
        <f t="shared" si="4"/>
        <v>99</v>
      </c>
      <c r="O51" s="7">
        <f t="shared" si="5"/>
        <v>0</v>
      </c>
      <c r="Q51" s="7">
        <f t="shared" si="6"/>
        <v>0.04210526316</v>
      </c>
      <c r="R51" s="7">
        <f t="shared" si="7"/>
        <v>0.04210526316</v>
      </c>
      <c r="S51" s="13" t="b">
        <f t="shared" si="8"/>
        <v>0</v>
      </c>
      <c r="T51" s="13">
        <f t="shared" si="9"/>
        <v>3600</v>
      </c>
      <c r="U51" s="7">
        <f t="shared" si="10"/>
        <v>0</v>
      </c>
      <c r="V51" s="7">
        <f t="shared" si="11"/>
        <v>0</v>
      </c>
      <c r="W51" s="13" t="b">
        <f t="shared" si="12"/>
        <v>1</v>
      </c>
      <c r="X51" s="13">
        <f t="shared" si="13"/>
        <v>357.4</v>
      </c>
      <c r="Y51" s="7">
        <f t="shared" si="14"/>
        <v>0.01020408163</v>
      </c>
      <c r="Z51" s="7">
        <f t="shared" si="15"/>
        <v>0.0143442623</v>
      </c>
      <c r="AA51" s="13" t="b">
        <f t="shared" si="16"/>
        <v>0</v>
      </c>
      <c r="AB51" s="13">
        <f t="shared" si="17"/>
        <v>74.47</v>
      </c>
    </row>
    <row r="52">
      <c r="A52" s="1" t="s">
        <v>57</v>
      </c>
      <c r="B52" s="12">
        <v>113.0</v>
      </c>
      <c r="C52" s="12">
        <v>124.0</v>
      </c>
      <c r="D52" s="7">
        <f t="shared" si="1"/>
        <v>0.09734513274</v>
      </c>
      <c r="E52" s="12">
        <v>3600.0</v>
      </c>
      <c r="F52" s="9">
        <v>116.0</v>
      </c>
      <c r="G52" s="9">
        <v>122.0</v>
      </c>
      <c r="H52" s="7">
        <f t="shared" si="2"/>
        <v>0.05172413793</v>
      </c>
      <c r="I52" s="9">
        <v>3600.0</v>
      </c>
      <c r="J52" s="9">
        <v>118.0</v>
      </c>
      <c r="K52" s="9">
        <v>118.0</v>
      </c>
      <c r="L52" s="9">
        <v>54.85</v>
      </c>
      <c r="M52" s="13">
        <f t="shared" si="3"/>
        <v>118</v>
      </c>
      <c r="N52" s="13">
        <f t="shared" si="4"/>
        <v>122</v>
      </c>
      <c r="O52" s="7">
        <f t="shared" si="5"/>
        <v>0.03389830508</v>
      </c>
      <c r="Q52" s="7">
        <f t="shared" si="6"/>
        <v>0.09734513274</v>
      </c>
      <c r="R52" s="7">
        <f t="shared" si="7"/>
        <v>0.04424778761</v>
      </c>
      <c r="S52" s="13" t="b">
        <f t="shared" si="8"/>
        <v>0</v>
      </c>
      <c r="T52" s="13">
        <f t="shared" si="9"/>
        <v>3600</v>
      </c>
      <c r="U52" s="7">
        <f t="shared" si="10"/>
        <v>0.05172413793</v>
      </c>
      <c r="V52" s="7">
        <f t="shared" si="11"/>
        <v>0.01724137931</v>
      </c>
      <c r="W52" s="13" t="b">
        <f t="shared" si="12"/>
        <v>0</v>
      </c>
      <c r="X52" s="13">
        <f t="shared" si="13"/>
        <v>3600</v>
      </c>
      <c r="Y52" s="7">
        <f t="shared" si="14"/>
        <v>0</v>
      </c>
      <c r="Z52" s="7">
        <f t="shared" si="15"/>
        <v>0</v>
      </c>
      <c r="AA52" s="13" t="b">
        <f t="shared" si="16"/>
        <v>1</v>
      </c>
      <c r="AB52" s="13">
        <f t="shared" si="17"/>
        <v>54.85</v>
      </c>
    </row>
    <row r="53">
      <c r="A53" s="1" t="s">
        <v>58</v>
      </c>
      <c r="B53" s="12">
        <v>117.0</v>
      </c>
      <c r="C53" s="12">
        <v>154.0</v>
      </c>
      <c r="D53" s="7">
        <f t="shared" si="1"/>
        <v>0.3162393162</v>
      </c>
      <c r="E53" s="12">
        <v>3600.0</v>
      </c>
      <c r="F53" s="9">
        <v>121.0</v>
      </c>
      <c r="G53" s="9">
        <v>139.0</v>
      </c>
      <c r="H53" s="7">
        <f t="shared" si="2"/>
        <v>0.1487603306</v>
      </c>
      <c r="I53" s="9">
        <v>3600.0</v>
      </c>
      <c r="J53" s="9">
        <v>121.0</v>
      </c>
      <c r="K53" s="9">
        <v>121.0</v>
      </c>
      <c r="L53" s="9">
        <v>35.36</v>
      </c>
      <c r="M53" s="13">
        <f t="shared" si="3"/>
        <v>121</v>
      </c>
      <c r="N53" s="13">
        <f t="shared" si="4"/>
        <v>139</v>
      </c>
      <c r="O53" s="7">
        <f t="shared" si="5"/>
        <v>0.1487603306</v>
      </c>
      <c r="Q53" s="7">
        <f t="shared" si="6"/>
        <v>0.3162393162</v>
      </c>
      <c r="R53" s="7">
        <f t="shared" si="7"/>
        <v>0.03418803419</v>
      </c>
      <c r="S53" s="13" t="b">
        <f t="shared" si="8"/>
        <v>0</v>
      </c>
      <c r="T53" s="13">
        <f t="shared" si="9"/>
        <v>3600</v>
      </c>
      <c r="U53" s="7">
        <f t="shared" si="10"/>
        <v>0.1487603306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35.36</v>
      </c>
    </row>
    <row r="54">
      <c r="A54" s="1" t="s">
        <v>59</v>
      </c>
      <c r="B54" s="12">
        <v>105.0</v>
      </c>
      <c r="C54" s="12">
        <v>128.0</v>
      </c>
      <c r="D54" s="7">
        <f t="shared" si="1"/>
        <v>0.219047619</v>
      </c>
      <c r="E54" s="12">
        <v>3600.0</v>
      </c>
      <c r="F54" s="9">
        <v>126.0</v>
      </c>
      <c r="G54" s="9">
        <v>126.0</v>
      </c>
      <c r="H54" s="7">
        <f t="shared" si="2"/>
        <v>0</v>
      </c>
      <c r="I54" s="9">
        <v>416.72</v>
      </c>
      <c r="J54" s="9">
        <v>126.0</v>
      </c>
      <c r="K54" s="9">
        <v>124.8</v>
      </c>
      <c r="L54" s="9">
        <v>77.63</v>
      </c>
      <c r="M54" s="13">
        <f t="shared" si="3"/>
        <v>126</v>
      </c>
      <c r="N54" s="13">
        <f t="shared" si="4"/>
        <v>126</v>
      </c>
      <c r="O54" s="7">
        <f t="shared" si="5"/>
        <v>0</v>
      </c>
      <c r="Q54" s="7">
        <f t="shared" si="6"/>
        <v>0.219047619</v>
      </c>
      <c r="R54" s="7">
        <f t="shared" si="7"/>
        <v>0.2</v>
      </c>
      <c r="S54" s="13" t="b">
        <f t="shared" si="8"/>
        <v>0</v>
      </c>
      <c r="T54" s="13">
        <f t="shared" si="9"/>
        <v>3600</v>
      </c>
      <c r="U54" s="7">
        <f t="shared" si="10"/>
        <v>0</v>
      </c>
      <c r="V54" s="7">
        <f t="shared" si="11"/>
        <v>0</v>
      </c>
      <c r="W54" s="13" t="b">
        <f t="shared" si="12"/>
        <v>1</v>
      </c>
      <c r="X54" s="13">
        <f t="shared" si="13"/>
        <v>416.72</v>
      </c>
      <c r="Y54" s="7">
        <f t="shared" si="14"/>
        <v>0</v>
      </c>
      <c r="Z54" s="7">
        <f t="shared" si="15"/>
        <v>0.009615384615</v>
      </c>
      <c r="AA54" s="13" t="b">
        <f t="shared" si="16"/>
        <v>1</v>
      </c>
      <c r="AB54" s="13">
        <f t="shared" si="17"/>
        <v>77.63</v>
      </c>
    </row>
    <row r="55">
      <c r="A55" s="1" t="s">
        <v>60</v>
      </c>
      <c r="B55" s="12">
        <v>93.0</v>
      </c>
      <c r="C55" s="12">
        <v>127.0</v>
      </c>
      <c r="D55" s="7">
        <f t="shared" si="1"/>
        <v>0.3655913978</v>
      </c>
      <c r="E55" s="12">
        <v>3600.0</v>
      </c>
      <c r="F55" s="9">
        <v>122.0</v>
      </c>
      <c r="G55" s="9">
        <v>122.0</v>
      </c>
      <c r="H55" s="7">
        <f t="shared" si="2"/>
        <v>0</v>
      </c>
      <c r="I55" s="9">
        <v>2404.45</v>
      </c>
      <c r="J55" s="9">
        <v>121.0</v>
      </c>
      <c r="K55" s="9">
        <v>120.3</v>
      </c>
      <c r="L55" s="9">
        <v>96.87</v>
      </c>
      <c r="M55" s="13">
        <f t="shared" si="3"/>
        <v>122</v>
      </c>
      <c r="N55" s="13">
        <f t="shared" si="4"/>
        <v>122</v>
      </c>
      <c r="O55" s="7">
        <f t="shared" si="5"/>
        <v>0</v>
      </c>
      <c r="Q55" s="7">
        <f t="shared" si="6"/>
        <v>0.3655913978</v>
      </c>
      <c r="R55" s="7">
        <f t="shared" si="7"/>
        <v>0.311827957</v>
      </c>
      <c r="S55" s="13" t="b">
        <f t="shared" si="8"/>
        <v>0</v>
      </c>
      <c r="T55" s="13">
        <f t="shared" si="9"/>
        <v>3600</v>
      </c>
      <c r="U55" s="7">
        <f t="shared" si="10"/>
        <v>0</v>
      </c>
      <c r="V55" s="7">
        <f t="shared" si="11"/>
        <v>0</v>
      </c>
      <c r="W55" s="13" t="b">
        <f t="shared" si="12"/>
        <v>1</v>
      </c>
      <c r="X55" s="13">
        <f t="shared" si="13"/>
        <v>2404.45</v>
      </c>
      <c r="Y55" s="7">
        <f t="shared" si="14"/>
        <v>0.00826446281</v>
      </c>
      <c r="Z55" s="7">
        <f t="shared" si="15"/>
        <v>0.01413133832</v>
      </c>
      <c r="AA55" s="13" t="b">
        <f t="shared" si="16"/>
        <v>0</v>
      </c>
      <c r="AB55" s="13">
        <f t="shared" si="17"/>
        <v>96.87</v>
      </c>
    </row>
    <row r="56">
      <c r="A56" s="1" t="s">
        <v>61</v>
      </c>
      <c r="B56" s="12">
        <v>129.0</v>
      </c>
      <c r="C56" s="12">
        <v>147.0</v>
      </c>
      <c r="D56" s="7">
        <f t="shared" si="1"/>
        <v>0.1395348837</v>
      </c>
      <c r="E56" s="12">
        <v>3600.0</v>
      </c>
      <c r="F56" s="9">
        <v>134.0</v>
      </c>
      <c r="G56" s="9">
        <v>143.0</v>
      </c>
      <c r="H56" s="7">
        <f t="shared" si="2"/>
        <v>0.0671641791</v>
      </c>
      <c r="I56" s="9">
        <v>3600.0</v>
      </c>
      <c r="J56" s="9">
        <v>135.0</v>
      </c>
      <c r="K56" s="9">
        <v>135.0</v>
      </c>
      <c r="L56" s="9">
        <v>58.49</v>
      </c>
      <c r="M56" s="13">
        <f t="shared" si="3"/>
        <v>135</v>
      </c>
      <c r="N56" s="13">
        <f t="shared" si="4"/>
        <v>143</v>
      </c>
      <c r="O56" s="7">
        <f t="shared" si="5"/>
        <v>0.05925925926</v>
      </c>
      <c r="Q56" s="7">
        <f t="shared" si="6"/>
        <v>0.1395348837</v>
      </c>
      <c r="R56" s="7">
        <f t="shared" si="7"/>
        <v>0.04651162791</v>
      </c>
      <c r="S56" s="13" t="b">
        <f t="shared" si="8"/>
        <v>0</v>
      </c>
      <c r="T56" s="13">
        <f t="shared" si="9"/>
        <v>3600</v>
      </c>
      <c r="U56" s="7">
        <f t="shared" si="10"/>
        <v>0.0671641791</v>
      </c>
      <c r="V56" s="7">
        <f t="shared" si="11"/>
        <v>0.007462686567</v>
      </c>
      <c r="W56" s="13" t="b">
        <f t="shared" si="12"/>
        <v>0</v>
      </c>
      <c r="X56" s="13">
        <f t="shared" si="13"/>
        <v>3600</v>
      </c>
      <c r="Y56" s="7">
        <f t="shared" si="14"/>
        <v>0</v>
      </c>
      <c r="Z56" s="7">
        <f t="shared" si="15"/>
        <v>0</v>
      </c>
      <c r="AA56" s="13" t="b">
        <f t="shared" si="16"/>
        <v>1</v>
      </c>
      <c r="AB56" s="13">
        <f t="shared" si="17"/>
        <v>58.49</v>
      </c>
    </row>
    <row r="57">
      <c r="A57" s="1" t="s">
        <v>62</v>
      </c>
      <c r="B57" s="12">
        <v>130.0</v>
      </c>
      <c r="C57" s="12">
        <v>137.0</v>
      </c>
      <c r="D57" s="7">
        <f t="shared" si="1"/>
        <v>0.05384615385</v>
      </c>
      <c r="E57" s="12">
        <v>3600.0</v>
      </c>
      <c r="F57" s="9">
        <v>137.0</v>
      </c>
      <c r="G57" s="9">
        <v>137.0</v>
      </c>
      <c r="H57" s="7">
        <f t="shared" si="2"/>
        <v>0</v>
      </c>
      <c r="I57" s="9">
        <v>335.1</v>
      </c>
      <c r="J57" s="9">
        <v>137.0</v>
      </c>
      <c r="K57" s="9">
        <v>135.9</v>
      </c>
      <c r="L57" s="9">
        <v>87.14</v>
      </c>
      <c r="M57" s="13">
        <f t="shared" si="3"/>
        <v>137</v>
      </c>
      <c r="N57" s="13">
        <f t="shared" si="4"/>
        <v>137</v>
      </c>
      <c r="O57" s="7">
        <f t="shared" si="5"/>
        <v>0</v>
      </c>
      <c r="Q57" s="7">
        <f t="shared" si="6"/>
        <v>0.05384615385</v>
      </c>
      <c r="R57" s="7">
        <f t="shared" si="7"/>
        <v>0.05384615385</v>
      </c>
      <c r="S57" s="13" t="b">
        <f t="shared" si="8"/>
        <v>0</v>
      </c>
      <c r="T57" s="13">
        <f t="shared" si="9"/>
        <v>3600</v>
      </c>
      <c r="U57" s="7">
        <f t="shared" si="10"/>
        <v>0</v>
      </c>
      <c r="V57" s="7">
        <f t="shared" si="11"/>
        <v>0</v>
      </c>
      <c r="W57" s="13" t="b">
        <f t="shared" si="12"/>
        <v>1</v>
      </c>
      <c r="X57" s="13">
        <f t="shared" si="13"/>
        <v>335.1</v>
      </c>
      <c r="Y57" s="7">
        <f t="shared" si="14"/>
        <v>0</v>
      </c>
      <c r="Z57" s="7">
        <f t="shared" si="15"/>
        <v>0.008094186902</v>
      </c>
      <c r="AA57" s="13" t="b">
        <f t="shared" si="16"/>
        <v>1</v>
      </c>
      <c r="AB57" s="13">
        <f t="shared" si="17"/>
        <v>87.14</v>
      </c>
    </row>
    <row r="58">
      <c r="A58" s="1" t="s">
        <v>63</v>
      </c>
      <c r="B58" s="12">
        <v>118.0</v>
      </c>
      <c r="C58" s="12">
        <v>137.0</v>
      </c>
      <c r="D58" s="7">
        <f t="shared" si="1"/>
        <v>0.1610169492</v>
      </c>
      <c r="E58" s="12">
        <v>3600.0</v>
      </c>
      <c r="F58" s="9">
        <v>133.0</v>
      </c>
      <c r="G58" s="9">
        <v>133.0</v>
      </c>
      <c r="H58" s="7">
        <f t="shared" si="2"/>
        <v>0</v>
      </c>
      <c r="I58" s="9">
        <v>3049.58</v>
      </c>
      <c r="J58" s="9">
        <v>132.0</v>
      </c>
      <c r="K58" s="9">
        <v>130.8</v>
      </c>
      <c r="L58" s="9">
        <v>113.46</v>
      </c>
      <c r="M58" s="13">
        <f t="shared" si="3"/>
        <v>133</v>
      </c>
      <c r="N58" s="13">
        <f t="shared" si="4"/>
        <v>133</v>
      </c>
      <c r="O58" s="7">
        <f t="shared" si="5"/>
        <v>0</v>
      </c>
      <c r="Q58" s="7">
        <f t="shared" si="6"/>
        <v>0.1610169492</v>
      </c>
      <c r="R58" s="7">
        <f t="shared" si="7"/>
        <v>0.1271186441</v>
      </c>
      <c r="S58" s="13" t="b">
        <f t="shared" si="8"/>
        <v>0</v>
      </c>
      <c r="T58" s="13">
        <f t="shared" si="9"/>
        <v>3600</v>
      </c>
      <c r="U58" s="7">
        <f t="shared" si="10"/>
        <v>0</v>
      </c>
      <c r="V58" s="7">
        <f t="shared" si="11"/>
        <v>0</v>
      </c>
      <c r="W58" s="13" t="b">
        <f t="shared" si="12"/>
        <v>1</v>
      </c>
      <c r="X58" s="13">
        <f t="shared" si="13"/>
        <v>3049.58</v>
      </c>
      <c r="Y58" s="7">
        <f t="shared" si="14"/>
        <v>0.007575757576</v>
      </c>
      <c r="Z58" s="7">
        <f t="shared" si="15"/>
        <v>0.01681957187</v>
      </c>
      <c r="AA58" s="13" t="b">
        <f t="shared" si="16"/>
        <v>0</v>
      </c>
      <c r="AB58" s="13">
        <f t="shared" si="17"/>
        <v>113.46</v>
      </c>
    </row>
    <row r="59">
      <c r="A59" s="1" t="s">
        <v>64</v>
      </c>
      <c r="B59" s="12">
        <v>116.0</v>
      </c>
      <c r="C59" s="12">
        <v>184.0</v>
      </c>
      <c r="D59" s="7">
        <f t="shared" si="1"/>
        <v>0.5862068966</v>
      </c>
      <c r="E59" s="12">
        <v>3600.0</v>
      </c>
      <c r="F59" s="9">
        <v>98.0</v>
      </c>
      <c r="G59" s="9">
        <v>168.0</v>
      </c>
      <c r="H59" s="7">
        <f t="shared" si="2"/>
        <v>0.7142857143</v>
      </c>
      <c r="I59" s="9">
        <v>3600.0</v>
      </c>
      <c r="J59" s="9">
        <v>124.0</v>
      </c>
      <c r="K59" s="9">
        <v>124.0</v>
      </c>
      <c r="L59" s="9">
        <v>76.03</v>
      </c>
      <c r="M59" s="13">
        <f t="shared" si="3"/>
        <v>124</v>
      </c>
      <c r="N59" s="13">
        <f t="shared" si="4"/>
        <v>168</v>
      </c>
      <c r="O59" s="7">
        <f t="shared" si="5"/>
        <v>0.3548387097</v>
      </c>
      <c r="Q59" s="7">
        <f t="shared" si="6"/>
        <v>0.5862068966</v>
      </c>
      <c r="R59" s="7">
        <f t="shared" si="7"/>
        <v>0.06896551724</v>
      </c>
      <c r="S59" s="13" t="b">
        <f t="shared" si="8"/>
        <v>0</v>
      </c>
      <c r="T59" s="13">
        <f t="shared" si="9"/>
        <v>3600</v>
      </c>
      <c r="U59" s="7">
        <f t="shared" si="10"/>
        <v>0.7142857143</v>
      </c>
      <c r="V59" s="7">
        <f t="shared" si="11"/>
        <v>0.2653061224</v>
      </c>
      <c r="W59" s="13" t="b">
        <f t="shared" si="12"/>
        <v>0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76.03</v>
      </c>
    </row>
    <row r="60">
      <c r="A60" s="1" t="s">
        <v>65</v>
      </c>
      <c r="B60" s="12">
        <v>103.0</v>
      </c>
      <c r="C60" s="12">
        <v>154.0</v>
      </c>
      <c r="D60" s="7">
        <f t="shared" si="1"/>
        <v>0.4951456311</v>
      </c>
      <c r="E60" s="12">
        <v>3600.0</v>
      </c>
      <c r="F60" s="9">
        <v>146.0</v>
      </c>
      <c r="G60" s="9">
        <v>148.0</v>
      </c>
      <c r="H60" s="7">
        <f t="shared" si="2"/>
        <v>0.01369863014</v>
      </c>
      <c r="I60" s="9">
        <v>3600.0</v>
      </c>
      <c r="J60" s="9">
        <v>146.0</v>
      </c>
      <c r="K60" s="9">
        <v>145.2</v>
      </c>
      <c r="L60" s="9">
        <v>121.11</v>
      </c>
      <c r="M60" s="13">
        <f t="shared" si="3"/>
        <v>146</v>
      </c>
      <c r="N60" s="13">
        <f t="shared" si="4"/>
        <v>148</v>
      </c>
      <c r="O60" s="7">
        <f t="shared" si="5"/>
        <v>0.01369863014</v>
      </c>
      <c r="Q60" s="7">
        <f t="shared" si="6"/>
        <v>0.4951456311</v>
      </c>
      <c r="R60" s="7">
        <f t="shared" si="7"/>
        <v>0.4174757282</v>
      </c>
      <c r="S60" s="13" t="b">
        <f t="shared" si="8"/>
        <v>0</v>
      </c>
      <c r="T60" s="13">
        <f t="shared" si="9"/>
        <v>3600</v>
      </c>
      <c r="U60" s="7">
        <f t="shared" si="10"/>
        <v>0.01369863014</v>
      </c>
      <c r="V60" s="7">
        <f t="shared" si="11"/>
        <v>0</v>
      </c>
      <c r="W60" s="13" t="b">
        <f t="shared" si="12"/>
        <v>1</v>
      </c>
      <c r="X60" s="13">
        <f t="shared" si="13"/>
        <v>3600</v>
      </c>
      <c r="Y60" s="7">
        <f t="shared" si="14"/>
        <v>0</v>
      </c>
      <c r="Z60" s="7">
        <f t="shared" si="15"/>
        <v>0.005509641873</v>
      </c>
      <c r="AA60" s="13" t="b">
        <f t="shared" si="16"/>
        <v>1</v>
      </c>
      <c r="AB60" s="13">
        <f t="shared" si="17"/>
        <v>121.11</v>
      </c>
    </row>
    <row r="61">
      <c r="A61" s="1" t="s">
        <v>66</v>
      </c>
      <c r="B61" s="12">
        <v>154.0</v>
      </c>
      <c r="C61" s="12">
        <v>198.0</v>
      </c>
      <c r="D61" s="7">
        <f t="shared" si="1"/>
        <v>0.2857142857</v>
      </c>
      <c r="E61" s="12">
        <v>3600.0</v>
      </c>
      <c r="F61" s="9">
        <v>154.0</v>
      </c>
      <c r="G61" s="9">
        <v>197.0</v>
      </c>
      <c r="H61" s="7">
        <f t="shared" si="2"/>
        <v>0.2792207792</v>
      </c>
      <c r="I61" s="9">
        <v>3600.0</v>
      </c>
      <c r="J61" s="9">
        <v>154.0</v>
      </c>
      <c r="K61" s="9">
        <v>154.0</v>
      </c>
      <c r="L61" s="9">
        <v>54.51</v>
      </c>
      <c r="M61" s="13">
        <f t="shared" si="3"/>
        <v>154</v>
      </c>
      <c r="N61" s="13">
        <f t="shared" si="4"/>
        <v>197</v>
      </c>
      <c r="O61" s="7">
        <f t="shared" si="5"/>
        <v>0.2792207792</v>
      </c>
      <c r="Q61" s="7">
        <f t="shared" si="6"/>
        <v>0.2857142857</v>
      </c>
      <c r="R61" s="7">
        <f t="shared" si="7"/>
        <v>0</v>
      </c>
      <c r="S61" s="13" t="b">
        <f t="shared" si="8"/>
        <v>1</v>
      </c>
      <c r="T61" s="13">
        <f t="shared" si="9"/>
        <v>3600</v>
      </c>
      <c r="U61" s="7">
        <f t="shared" si="10"/>
        <v>0.2792207792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</v>
      </c>
      <c r="AA61" s="13" t="b">
        <f t="shared" si="16"/>
        <v>1</v>
      </c>
      <c r="AB61" s="13">
        <f t="shared" si="17"/>
        <v>54.51</v>
      </c>
    </row>
    <row r="62">
      <c r="A62" s="1" t="s">
        <v>67</v>
      </c>
      <c r="B62" s="12">
        <v>116.0</v>
      </c>
      <c r="C62" s="12">
        <v>157.0</v>
      </c>
      <c r="D62" s="7">
        <f t="shared" si="1"/>
        <v>0.3534482759</v>
      </c>
      <c r="E62" s="12">
        <v>3600.0</v>
      </c>
      <c r="F62" s="9">
        <v>141.0</v>
      </c>
      <c r="G62" s="9">
        <v>148.0</v>
      </c>
      <c r="H62" s="7">
        <f t="shared" si="2"/>
        <v>0.04964539007</v>
      </c>
      <c r="I62" s="9">
        <v>3600.0</v>
      </c>
      <c r="J62" s="9">
        <v>143.0</v>
      </c>
      <c r="K62" s="9">
        <v>141.4</v>
      </c>
      <c r="L62" s="9">
        <v>116.45</v>
      </c>
      <c r="M62" s="13">
        <f t="shared" si="3"/>
        <v>143</v>
      </c>
      <c r="N62" s="13">
        <f t="shared" si="4"/>
        <v>148</v>
      </c>
      <c r="O62" s="7">
        <f t="shared" si="5"/>
        <v>0.03496503497</v>
      </c>
      <c r="Q62" s="7">
        <f t="shared" si="6"/>
        <v>0.3534482759</v>
      </c>
      <c r="R62" s="7">
        <f t="shared" si="7"/>
        <v>0.2327586207</v>
      </c>
      <c r="S62" s="13" t="b">
        <f t="shared" si="8"/>
        <v>0</v>
      </c>
      <c r="T62" s="13">
        <f t="shared" si="9"/>
        <v>3600</v>
      </c>
      <c r="U62" s="7">
        <f t="shared" si="10"/>
        <v>0.04964539007</v>
      </c>
      <c r="V62" s="7">
        <f t="shared" si="11"/>
        <v>0.01418439716</v>
      </c>
      <c r="W62" s="13" t="b">
        <f t="shared" si="12"/>
        <v>0</v>
      </c>
      <c r="X62" s="13">
        <f t="shared" si="13"/>
        <v>3600</v>
      </c>
      <c r="Y62" s="7">
        <f t="shared" si="14"/>
        <v>0</v>
      </c>
      <c r="Z62" s="7">
        <f t="shared" si="15"/>
        <v>0.01131541726</v>
      </c>
      <c r="AA62" s="13" t="b">
        <f t="shared" si="16"/>
        <v>1</v>
      </c>
      <c r="AB62" s="13">
        <f t="shared" si="17"/>
        <v>116.45</v>
      </c>
      <c r="AD62" s="7">
        <f t="shared" ref="AD62:AE62" si="21">AVERAGE(Q33:Q62)</f>
        <v>0.1638140471</v>
      </c>
      <c r="AE62" s="7">
        <f t="shared" si="21"/>
        <v>0.06820818353</v>
      </c>
      <c r="AF62" s="13">
        <f>COUNTIF(S33:S62, "TRUE")</f>
        <v>9</v>
      </c>
      <c r="AG62" s="13">
        <f>COUNTIF(Q33:Q62,"=0")</f>
        <v>2</v>
      </c>
      <c r="AH62" s="13">
        <f t="shared" ref="AH62:AJ62" si="22">AVERAGE(T33:T62)</f>
        <v>3409.349667</v>
      </c>
      <c r="AI62" s="7">
        <f t="shared" si="22"/>
        <v>0.05650775466</v>
      </c>
      <c r="AJ62" s="7">
        <f t="shared" si="22"/>
        <v>0.01013981952</v>
      </c>
      <c r="AK62" s="13">
        <f>COUNTIF(W33:W62, "TRUE")</f>
        <v>26</v>
      </c>
      <c r="AL62" s="13">
        <f>COUNTIF(U33:U62,"=0")</f>
        <v>17</v>
      </c>
      <c r="AM62" s="13">
        <f t="shared" ref="AM62:AO62" si="23">AVERAGE(X33:X62)</f>
        <v>2120.387667</v>
      </c>
      <c r="AN62" s="7">
        <f t="shared" si="23"/>
        <v>0.001208279455</v>
      </c>
      <c r="AO62" s="7">
        <f t="shared" si="23"/>
        <v>0.003521716593</v>
      </c>
      <c r="AP62" s="13">
        <f>COUNTIF(AA33:AA62, "TRUE")</f>
        <v>26</v>
      </c>
      <c r="AQ62" s="13">
        <f>AVERAGE(AB33:AB62)</f>
        <v>55.16766667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14.0</v>
      </c>
      <c r="C3" s="12">
        <v>14.0</v>
      </c>
      <c r="D3" s="7">
        <f t="shared" ref="D3:D62" si="1">(C3-B3)/B3</f>
        <v>0</v>
      </c>
      <c r="E3" s="12">
        <v>0.2</v>
      </c>
      <c r="F3" s="9">
        <v>14.0</v>
      </c>
      <c r="G3" s="9">
        <v>14.0</v>
      </c>
      <c r="H3" s="7">
        <f t="shared" ref="H3:H62" si="2">(G3-F3)/F3</f>
        <v>0</v>
      </c>
      <c r="I3" s="9">
        <v>0.07</v>
      </c>
      <c r="J3" s="9">
        <v>14.0</v>
      </c>
      <c r="K3" s="9">
        <v>13.9</v>
      </c>
      <c r="L3" s="9">
        <v>19.3</v>
      </c>
      <c r="M3" s="13">
        <f t="shared" ref="M3:M62" si="3">MAX(B3,F3,J3)</f>
        <v>14</v>
      </c>
      <c r="N3" s="13">
        <f t="shared" ref="N3:N62" si="4">MIN(C3,G3)</f>
        <v>14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0.2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0.07</v>
      </c>
      <c r="Y3" s="7">
        <f t="shared" ref="Y3:Y62" si="14">(M3-J3)/J3</f>
        <v>0</v>
      </c>
      <c r="Z3" s="7">
        <f t="shared" ref="Z3:Z62" si="15">(M3-K3)/K3</f>
        <v>0.007194244604</v>
      </c>
      <c r="AA3" s="13" t="b">
        <f t="shared" ref="AA3:AA62" si="16">M3=J3</f>
        <v>1</v>
      </c>
      <c r="AB3" s="13">
        <f t="shared" ref="AB3:AB62" si="17">L3</f>
        <v>19.3</v>
      </c>
    </row>
    <row r="4">
      <c r="A4" s="1" t="s">
        <v>9</v>
      </c>
      <c r="B4" s="12">
        <v>12.0</v>
      </c>
      <c r="C4" s="12">
        <v>12.0</v>
      </c>
      <c r="D4" s="7">
        <f t="shared" si="1"/>
        <v>0</v>
      </c>
      <c r="E4" s="12">
        <v>1.72</v>
      </c>
      <c r="F4" s="9">
        <v>12.0</v>
      </c>
      <c r="G4" s="9">
        <v>12.0</v>
      </c>
      <c r="H4" s="7">
        <f t="shared" si="2"/>
        <v>0</v>
      </c>
      <c r="I4" s="9">
        <v>0.22</v>
      </c>
      <c r="J4" s="9">
        <v>12.0</v>
      </c>
      <c r="K4" s="9">
        <v>12.0</v>
      </c>
      <c r="L4" s="9">
        <v>0.5</v>
      </c>
      <c r="M4" s="13">
        <f t="shared" si="3"/>
        <v>12</v>
      </c>
      <c r="N4" s="13">
        <f t="shared" si="4"/>
        <v>12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1.72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0.22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0.5</v>
      </c>
    </row>
    <row r="5">
      <c r="A5" s="1" t="s">
        <v>10</v>
      </c>
      <c r="B5" s="12">
        <v>15.0</v>
      </c>
      <c r="C5" s="12">
        <v>15.0</v>
      </c>
      <c r="D5" s="7">
        <f t="shared" si="1"/>
        <v>0</v>
      </c>
      <c r="E5" s="12">
        <v>0.21</v>
      </c>
      <c r="F5" s="9">
        <v>15.0</v>
      </c>
      <c r="G5" s="9">
        <v>15.0</v>
      </c>
      <c r="H5" s="7">
        <f t="shared" si="2"/>
        <v>0</v>
      </c>
      <c r="I5" s="9">
        <v>0.05</v>
      </c>
      <c r="J5" s="9">
        <v>15.0</v>
      </c>
      <c r="K5" s="9">
        <v>15.0</v>
      </c>
      <c r="L5" s="9">
        <v>0.25</v>
      </c>
      <c r="M5" s="13">
        <f t="shared" si="3"/>
        <v>15</v>
      </c>
      <c r="N5" s="13">
        <f t="shared" si="4"/>
        <v>15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0.21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0.05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0.25</v>
      </c>
    </row>
    <row r="6">
      <c r="A6" s="1" t="s">
        <v>11</v>
      </c>
      <c r="B6" s="12">
        <v>12.0</v>
      </c>
      <c r="C6" s="12">
        <v>12.0</v>
      </c>
      <c r="D6" s="7">
        <f t="shared" si="1"/>
        <v>0</v>
      </c>
      <c r="E6" s="12">
        <v>3.38</v>
      </c>
      <c r="F6" s="9">
        <v>12.0</v>
      </c>
      <c r="G6" s="9">
        <v>12.0</v>
      </c>
      <c r="H6" s="7">
        <f t="shared" si="2"/>
        <v>0</v>
      </c>
      <c r="I6" s="9">
        <v>0.83</v>
      </c>
      <c r="J6" s="9">
        <v>12.0</v>
      </c>
      <c r="K6" s="9">
        <v>12.0</v>
      </c>
      <c r="L6" s="9">
        <v>8.16</v>
      </c>
      <c r="M6" s="13">
        <f t="shared" si="3"/>
        <v>12</v>
      </c>
      <c r="N6" s="13">
        <f t="shared" si="4"/>
        <v>12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3.38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0.83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8.16</v>
      </c>
    </row>
    <row r="7">
      <c r="A7" s="1" t="s">
        <v>12</v>
      </c>
      <c r="B7" s="12">
        <v>16.0</v>
      </c>
      <c r="C7" s="12">
        <v>16.0</v>
      </c>
      <c r="D7" s="7">
        <f t="shared" si="1"/>
        <v>0</v>
      </c>
      <c r="E7" s="12">
        <v>1.04</v>
      </c>
      <c r="F7" s="9">
        <v>16.0</v>
      </c>
      <c r="G7" s="9">
        <v>16.0</v>
      </c>
      <c r="H7" s="7">
        <f t="shared" si="2"/>
        <v>0</v>
      </c>
      <c r="I7" s="9">
        <v>0.29</v>
      </c>
      <c r="J7" s="9">
        <v>16.0</v>
      </c>
      <c r="K7" s="9">
        <v>15.8</v>
      </c>
      <c r="L7" s="9">
        <v>4.79</v>
      </c>
      <c r="M7" s="13">
        <f t="shared" si="3"/>
        <v>16</v>
      </c>
      <c r="N7" s="13">
        <f t="shared" si="4"/>
        <v>16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1.04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0.29</v>
      </c>
      <c r="Y7" s="7">
        <f t="shared" si="14"/>
        <v>0</v>
      </c>
      <c r="Z7" s="7">
        <f t="shared" si="15"/>
        <v>0.01265822785</v>
      </c>
      <c r="AA7" s="13" t="b">
        <f t="shared" si="16"/>
        <v>1</v>
      </c>
      <c r="AB7" s="13">
        <f t="shared" si="17"/>
        <v>4.79</v>
      </c>
    </row>
    <row r="8">
      <c r="A8" s="1" t="s">
        <v>13</v>
      </c>
      <c r="B8" s="12">
        <v>16.0</v>
      </c>
      <c r="C8" s="12">
        <v>16.0</v>
      </c>
      <c r="D8" s="7">
        <f t="shared" si="1"/>
        <v>0</v>
      </c>
      <c r="E8" s="12">
        <v>1.8</v>
      </c>
      <c r="F8" s="9">
        <v>16.0</v>
      </c>
      <c r="G8" s="9">
        <v>16.0</v>
      </c>
      <c r="H8" s="7">
        <f t="shared" si="2"/>
        <v>0</v>
      </c>
      <c r="I8" s="9">
        <v>0.62</v>
      </c>
      <c r="J8" s="9">
        <v>16.0</v>
      </c>
      <c r="K8" s="9">
        <v>16.0</v>
      </c>
      <c r="L8" s="9">
        <v>15.49</v>
      </c>
      <c r="M8" s="13">
        <f t="shared" si="3"/>
        <v>16</v>
      </c>
      <c r="N8" s="13">
        <f t="shared" si="4"/>
        <v>16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1.8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0.62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15.49</v>
      </c>
    </row>
    <row r="9">
      <c r="A9" s="1" t="s">
        <v>14</v>
      </c>
      <c r="B9" s="12">
        <v>15.0</v>
      </c>
      <c r="C9" s="12">
        <v>15.0</v>
      </c>
      <c r="D9" s="7">
        <f t="shared" si="1"/>
        <v>0</v>
      </c>
      <c r="E9" s="12">
        <v>0.77</v>
      </c>
      <c r="F9" s="9">
        <v>15.0</v>
      </c>
      <c r="G9" s="9">
        <v>15.0</v>
      </c>
      <c r="H9" s="7">
        <f t="shared" si="2"/>
        <v>0</v>
      </c>
      <c r="I9" s="9">
        <v>0.2</v>
      </c>
      <c r="J9" s="9">
        <v>15.0</v>
      </c>
      <c r="K9" s="9">
        <v>15.0</v>
      </c>
      <c r="L9" s="9">
        <v>0.25</v>
      </c>
      <c r="M9" s="13">
        <f t="shared" si="3"/>
        <v>15</v>
      </c>
      <c r="N9" s="13">
        <f t="shared" si="4"/>
        <v>15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0.77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0.2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0.25</v>
      </c>
    </row>
    <row r="10">
      <c r="A10" s="1" t="s">
        <v>15</v>
      </c>
      <c r="B10" s="12">
        <v>17.0</v>
      </c>
      <c r="C10" s="12">
        <v>17.0</v>
      </c>
      <c r="D10" s="7">
        <f t="shared" si="1"/>
        <v>0</v>
      </c>
      <c r="E10" s="12">
        <v>1.41</v>
      </c>
      <c r="F10" s="9">
        <v>17.0</v>
      </c>
      <c r="G10" s="9">
        <v>17.0</v>
      </c>
      <c r="H10" s="7">
        <f t="shared" si="2"/>
        <v>0</v>
      </c>
      <c r="I10" s="9">
        <v>0.47</v>
      </c>
      <c r="J10" s="9">
        <v>17.0</v>
      </c>
      <c r="K10" s="9">
        <v>17.0</v>
      </c>
      <c r="L10" s="9">
        <v>0.28</v>
      </c>
      <c r="M10" s="13">
        <f t="shared" si="3"/>
        <v>17</v>
      </c>
      <c r="N10" s="13">
        <f t="shared" si="4"/>
        <v>17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1.41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0.47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0.28</v>
      </c>
    </row>
    <row r="11">
      <c r="A11" s="1" t="s">
        <v>16</v>
      </c>
      <c r="B11" s="12">
        <v>19.0</v>
      </c>
      <c r="C11" s="12">
        <v>19.0</v>
      </c>
      <c r="D11" s="7">
        <f t="shared" si="1"/>
        <v>0</v>
      </c>
      <c r="E11" s="12">
        <v>0.93</v>
      </c>
      <c r="F11" s="9">
        <v>19.0</v>
      </c>
      <c r="G11" s="9">
        <v>19.0</v>
      </c>
      <c r="H11" s="7">
        <f t="shared" si="2"/>
        <v>0</v>
      </c>
      <c r="I11" s="9">
        <v>0.24</v>
      </c>
      <c r="J11" s="9">
        <v>19.0</v>
      </c>
      <c r="K11" s="9">
        <v>19.0</v>
      </c>
      <c r="L11" s="9">
        <v>0.0</v>
      </c>
      <c r="M11" s="13">
        <f t="shared" si="3"/>
        <v>19</v>
      </c>
      <c r="N11" s="13">
        <f t="shared" si="4"/>
        <v>19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0.93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0.24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0</v>
      </c>
    </row>
    <row r="12">
      <c r="A12" s="1" t="s">
        <v>17</v>
      </c>
      <c r="B12" s="12">
        <v>18.0</v>
      </c>
      <c r="C12" s="12">
        <v>18.0</v>
      </c>
      <c r="D12" s="7">
        <f t="shared" si="1"/>
        <v>0</v>
      </c>
      <c r="E12" s="12">
        <v>0.79</v>
      </c>
      <c r="F12" s="9">
        <v>18.0</v>
      </c>
      <c r="G12" s="9">
        <v>18.0</v>
      </c>
      <c r="H12" s="7">
        <f t="shared" si="2"/>
        <v>0</v>
      </c>
      <c r="I12" s="9">
        <v>0.41</v>
      </c>
      <c r="J12" s="9">
        <v>18.0</v>
      </c>
      <c r="K12" s="9">
        <v>18.0</v>
      </c>
      <c r="L12" s="9">
        <v>1.26</v>
      </c>
      <c r="M12" s="13">
        <f t="shared" si="3"/>
        <v>18</v>
      </c>
      <c r="N12" s="13">
        <f t="shared" si="4"/>
        <v>18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0.79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0.41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1.26</v>
      </c>
    </row>
    <row r="13">
      <c r="A13" s="1" t="s">
        <v>18</v>
      </c>
      <c r="B13" s="12">
        <v>17.0</v>
      </c>
      <c r="C13" s="12">
        <v>17.0</v>
      </c>
      <c r="D13" s="7">
        <f t="shared" si="1"/>
        <v>0</v>
      </c>
      <c r="E13" s="12">
        <v>1.07</v>
      </c>
      <c r="F13" s="9">
        <v>17.0</v>
      </c>
      <c r="G13" s="9">
        <v>17.0</v>
      </c>
      <c r="H13" s="7">
        <f t="shared" si="2"/>
        <v>0</v>
      </c>
      <c r="I13" s="9">
        <v>0.9</v>
      </c>
      <c r="J13" s="9">
        <v>17.0</v>
      </c>
      <c r="K13" s="9">
        <v>17.0</v>
      </c>
      <c r="L13" s="9">
        <v>0.38</v>
      </c>
      <c r="M13" s="13">
        <f t="shared" si="3"/>
        <v>17</v>
      </c>
      <c r="N13" s="13">
        <f t="shared" si="4"/>
        <v>17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1.07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0.9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0.38</v>
      </c>
    </row>
    <row r="14">
      <c r="A14" s="1" t="s">
        <v>19</v>
      </c>
      <c r="B14" s="12">
        <v>17.0</v>
      </c>
      <c r="C14" s="12">
        <v>17.0</v>
      </c>
      <c r="D14" s="7">
        <f t="shared" si="1"/>
        <v>0</v>
      </c>
      <c r="E14" s="12">
        <v>1.82</v>
      </c>
      <c r="F14" s="9">
        <v>17.0</v>
      </c>
      <c r="G14" s="9">
        <v>17.0</v>
      </c>
      <c r="H14" s="7">
        <f t="shared" si="2"/>
        <v>0</v>
      </c>
      <c r="I14" s="9">
        <v>1.28</v>
      </c>
      <c r="J14" s="9">
        <v>17.0</v>
      </c>
      <c r="K14" s="9">
        <v>17.0</v>
      </c>
      <c r="L14" s="9">
        <v>18.09</v>
      </c>
      <c r="M14" s="13">
        <f t="shared" si="3"/>
        <v>17</v>
      </c>
      <c r="N14" s="13">
        <f t="shared" si="4"/>
        <v>17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1.82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1.28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18.09</v>
      </c>
    </row>
    <row r="15">
      <c r="A15" s="1" t="s">
        <v>20</v>
      </c>
      <c r="B15" s="12">
        <v>19.0</v>
      </c>
      <c r="C15" s="12">
        <v>19.0</v>
      </c>
      <c r="D15" s="7">
        <f t="shared" si="1"/>
        <v>0</v>
      </c>
      <c r="E15" s="12">
        <v>0.68</v>
      </c>
      <c r="F15" s="9">
        <v>19.0</v>
      </c>
      <c r="G15" s="9">
        <v>19.0</v>
      </c>
      <c r="H15" s="7">
        <f t="shared" si="2"/>
        <v>0</v>
      </c>
      <c r="I15" s="9">
        <v>0.15</v>
      </c>
      <c r="J15" s="9">
        <v>19.0</v>
      </c>
      <c r="K15" s="9">
        <v>19.0</v>
      </c>
      <c r="L15" s="9">
        <v>1.7</v>
      </c>
      <c r="M15" s="13">
        <f t="shared" si="3"/>
        <v>19</v>
      </c>
      <c r="N15" s="13">
        <f t="shared" si="4"/>
        <v>19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0.68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0.15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1.7</v>
      </c>
    </row>
    <row r="16">
      <c r="A16" s="1" t="s">
        <v>21</v>
      </c>
      <c r="B16" s="12">
        <v>17.0</v>
      </c>
      <c r="C16" s="12">
        <v>17.0</v>
      </c>
      <c r="D16" s="7">
        <f t="shared" si="1"/>
        <v>0</v>
      </c>
      <c r="E16" s="12">
        <v>11.07</v>
      </c>
      <c r="F16" s="9">
        <v>17.0</v>
      </c>
      <c r="G16" s="9">
        <v>17.0</v>
      </c>
      <c r="H16" s="7">
        <f t="shared" si="2"/>
        <v>0</v>
      </c>
      <c r="I16" s="9">
        <v>1.35</v>
      </c>
      <c r="J16" s="9">
        <v>17.0</v>
      </c>
      <c r="K16" s="9">
        <v>17.0</v>
      </c>
      <c r="L16" s="9">
        <v>17.98</v>
      </c>
      <c r="M16" s="13">
        <f t="shared" si="3"/>
        <v>17</v>
      </c>
      <c r="N16" s="13">
        <f t="shared" si="4"/>
        <v>17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11.07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1.35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17.98</v>
      </c>
    </row>
    <row r="17">
      <c r="A17" s="1" t="s">
        <v>22</v>
      </c>
      <c r="B17" s="12">
        <v>20.0</v>
      </c>
      <c r="C17" s="12">
        <v>20.0</v>
      </c>
      <c r="D17" s="7">
        <f t="shared" si="1"/>
        <v>0</v>
      </c>
      <c r="E17" s="12">
        <v>2.57</v>
      </c>
      <c r="F17" s="9">
        <v>20.0</v>
      </c>
      <c r="G17" s="9">
        <v>20.0</v>
      </c>
      <c r="H17" s="7">
        <f t="shared" si="2"/>
        <v>0</v>
      </c>
      <c r="I17" s="9">
        <v>0.62</v>
      </c>
      <c r="J17" s="9">
        <v>20.0</v>
      </c>
      <c r="K17" s="9">
        <v>19.1</v>
      </c>
      <c r="L17" s="9">
        <v>5.46</v>
      </c>
      <c r="M17" s="13">
        <f t="shared" si="3"/>
        <v>20</v>
      </c>
      <c r="N17" s="13">
        <f t="shared" si="4"/>
        <v>20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2.57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0.62</v>
      </c>
      <c r="Y17" s="7">
        <f t="shared" si="14"/>
        <v>0</v>
      </c>
      <c r="Z17" s="7">
        <f t="shared" si="15"/>
        <v>0.04712041885</v>
      </c>
      <c r="AA17" s="13" t="b">
        <f t="shared" si="16"/>
        <v>1</v>
      </c>
      <c r="AB17" s="13">
        <f t="shared" si="17"/>
        <v>5.46</v>
      </c>
    </row>
    <row r="18">
      <c r="A18" s="1" t="s">
        <v>23</v>
      </c>
      <c r="B18" s="12">
        <v>21.0</v>
      </c>
      <c r="C18" s="12">
        <v>21.0</v>
      </c>
      <c r="D18" s="7">
        <f t="shared" si="1"/>
        <v>0</v>
      </c>
      <c r="E18" s="12">
        <v>0.73</v>
      </c>
      <c r="F18" s="9">
        <v>21.0</v>
      </c>
      <c r="G18" s="9">
        <v>21.0</v>
      </c>
      <c r="H18" s="7">
        <f t="shared" si="2"/>
        <v>0</v>
      </c>
      <c r="I18" s="9">
        <v>0.39</v>
      </c>
      <c r="J18" s="9">
        <v>21.0</v>
      </c>
      <c r="K18" s="9">
        <v>21.0</v>
      </c>
      <c r="L18" s="9">
        <v>0.0</v>
      </c>
      <c r="M18" s="13">
        <f t="shared" si="3"/>
        <v>21</v>
      </c>
      <c r="N18" s="13">
        <f t="shared" si="4"/>
        <v>21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0.73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0.39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</v>
      </c>
    </row>
    <row r="19">
      <c r="A19" s="1" t="s">
        <v>24</v>
      </c>
      <c r="B19" s="12">
        <v>20.0</v>
      </c>
      <c r="C19" s="12">
        <v>20.0</v>
      </c>
      <c r="D19" s="7">
        <f t="shared" si="1"/>
        <v>0</v>
      </c>
      <c r="E19" s="12">
        <v>1.3</v>
      </c>
      <c r="F19" s="9">
        <v>20.0</v>
      </c>
      <c r="G19" s="9">
        <v>20.0</v>
      </c>
      <c r="H19" s="7">
        <f t="shared" si="2"/>
        <v>0</v>
      </c>
      <c r="I19" s="9">
        <v>0.48</v>
      </c>
      <c r="J19" s="9">
        <v>20.0</v>
      </c>
      <c r="K19" s="9">
        <v>20.0</v>
      </c>
      <c r="L19" s="9">
        <v>9.94</v>
      </c>
      <c r="M19" s="13">
        <f t="shared" si="3"/>
        <v>20</v>
      </c>
      <c r="N19" s="13">
        <f t="shared" si="4"/>
        <v>20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1.3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0.48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9.94</v>
      </c>
    </row>
    <row r="20">
      <c r="A20" s="1" t="s">
        <v>25</v>
      </c>
      <c r="B20" s="12">
        <v>22.0</v>
      </c>
      <c r="C20" s="12">
        <v>22.0</v>
      </c>
      <c r="D20" s="7">
        <f t="shared" si="1"/>
        <v>0</v>
      </c>
      <c r="E20" s="12">
        <v>1.74</v>
      </c>
      <c r="F20" s="9">
        <v>22.0</v>
      </c>
      <c r="G20" s="9">
        <v>22.0</v>
      </c>
      <c r="H20" s="7">
        <f t="shared" si="2"/>
        <v>0</v>
      </c>
      <c r="I20" s="9">
        <v>0.7</v>
      </c>
      <c r="J20" s="9">
        <v>22.0</v>
      </c>
      <c r="K20" s="9">
        <v>22.0</v>
      </c>
      <c r="L20" s="9">
        <v>16.0</v>
      </c>
      <c r="M20" s="13">
        <f t="shared" si="3"/>
        <v>22</v>
      </c>
      <c r="N20" s="13">
        <f t="shared" si="4"/>
        <v>22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1.74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0.7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16</v>
      </c>
    </row>
    <row r="21">
      <c r="A21" s="1" t="s">
        <v>26</v>
      </c>
      <c r="B21" s="12">
        <v>21.0</v>
      </c>
      <c r="C21" s="12">
        <v>22.0</v>
      </c>
      <c r="D21" s="7">
        <f t="shared" si="1"/>
        <v>0.04761904762</v>
      </c>
      <c r="E21" s="12">
        <v>3600.0</v>
      </c>
      <c r="F21" s="9">
        <v>21.0</v>
      </c>
      <c r="G21" s="9">
        <v>21.0</v>
      </c>
      <c r="H21" s="7">
        <f t="shared" si="2"/>
        <v>0</v>
      </c>
      <c r="I21" s="9">
        <v>83.61</v>
      </c>
      <c r="J21" s="9">
        <v>21.0</v>
      </c>
      <c r="K21" s="9">
        <v>21.0</v>
      </c>
      <c r="L21" s="9">
        <v>2.19</v>
      </c>
      <c r="M21" s="13">
        <f t="shared" si="3"/>
        <v>21</v>
      </c>
      <c r="N21" s="13">
        <f t="shared" si="4"/>
        <v>21</v>
      </c>
      <c r="O21" s="7">
        <f t="shared" si="5"/>
        <v>0</v>
      </c>
      <c r="Q21" s="7">
        <f t="shared" si="6"/>
        <v>0.04761904762</v>
      </c>
      <c r="R21" s="7">
        <f t="shared" si="7"/>
        <v>0</v>
      </c>
      <c r="S21" s="13" t="b">
        <f t="shared" si="8"/>
        <v>1</v>
      </c>
      <c r="T21" s="13">
        <f t="shared" si="9"/>
        <v>3600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83.61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2.19</v>
      </c>
    </row>
    <row r="22">
      <c r="A22" s="1" t="s">
        <v>27</v>
      </c>
      <c r="B22" s="12">
        <v>21.0</v>
      </c>
      <c r="C22" s="12">
        <v>21.0</v>
      </c>
      <c r="D22" s="7">
        <f t="shared" si="1"/>
        <v>0</v>
      </c>
      <c r="E22" s="12">
        <v>4.29</v>
      </c>
      <c r="F22" s="9">
        <v>21.0</v>
      </c>
      <c r="G22" s="9">
        <v>21.0</v>
      </c>
      <c r="H22" s="7">
        <f t="shared" si="2"/>
        <v>0</v>
      </c>
      <c r="I22" s="9">
        <v>1.27</v>
      </c>
      <c r="J22" s="9">
        <v>21.0</v>
      </c>
      <c r="K22" s="9">
        <v>21.0</v>
      </c>
      <c r="L22" s="9">
        <v>27.08</v>
      </c>
      <c r="M22" s="13">
        <f t="shared" si="3"/>
        <v>21</v>
      </c>
      <c r="N22" s="13">
        <f t="shared" si="4"/>
        <v>21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4.29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1.27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27.08</v>
      </c>
    </row>
    <row r="23">
      <c r="A23" s="1" t="s">
        <v>28</v>
      </c>
      <c r="B23" s="12">
        <v>22.0</v>
      </c>
      <c r="C23" s="12">
        <v>22.0</v>
      </c>
      <c r="D23" s="7">
        <f t="shared" si="1"/>
        <v>0</v>
      </c>
      <c r="E23" s="12">
        <v>10.74</v>
      </c>
      <c r="F23" s="9">
        <v>22.0</v>
      </c>
      <c r="G23" s="9">
        <v>22.0</v>
      </c>
      <c r="H23" s="7">
        <f t="shared" si="2"/>
        <v>0</v>
      </c>
      <c r="I23" s="9">
        <v>1.35</v>
      </c>
      <c r="J23" s="9">
        <v>22.0</v>
      </c>
      <c r="K23" s="9">
        <v>22.0</v>
      </c>
      <c r="L23" s="9">
        <v>26.2</v>
      </c>
      <c r="M23" s="13">
        <f t="shared" si="3"/>
        <v>22</v>
      </c>
      <c r="N23" s="13">
        <f t="shared" si="4"/>
        <v>22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10.74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1.35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26.2</v>
      </c>
    </row>
    <row r="24">
      <c r="A24" s="1" t="s">
        <v>29</v>
      </c>
      <c r="B24" s="12">
        <v>22.0</v>
      </c>
      <c r="C24" s="12">
        <v>22.0</v>
      </c>
      <c r="D24" s="7">
        <f t="shared" si="1"/>
        <v>0</v>
      </c>
      <c r="E24" s="12">
        <v>31.44</v>
      </c>
      <c r="F24" s="9">
        <v>22.0</v>
      </c>
      <c r="G24" s="9">
        <v>22.0</v>
      </c>
      <c r="H24" s="7">
        <f t="shared" si="2"/>
        <v>0</v>
      </c>
      <c r="I24" s="9">
        <v>1.46</v>
      </c>
      <c r="J24" s="9">
        <v>22.0</v>
      </c>
      <c r="K24" s="9">
        <v>22.0</v>
      </c>
      <c r="L24" s="9">
        <v>0.75</v>
      </c>
      <c r="M24" s="13">
        <f t="shared" si="3"/>
        <v>22</v>
      </c>
      <c r="N24" s="13">
        <f t="shared" si="4"/>
        <v>22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31.44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1.46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0.75</v>
      </c>
    </row>
    <row r="25">
      <c r="A25" s="1" t="s">
        <v>30</v>
      </c>
      <c r="B25" s="12">
        <v>21.0</v>
      </c>
      <c r="C25" s="12">
        <v>21.0</v>
      </c>
      <c r="D25" s="7">
        <f t="shared" si="1"/>
        <v>0</v>
      </c>
      <c r="E25" s="12">
        <v>9.51</v>
      </c>
      <c r="F25" s="9">
        <v>21.0</v>
      </c>
      <c r="G25" s="9">
        <v>21.0</v>
      </c>
      <c r="H25" s="7">
        <f t="shared" si="2"/>
        <v>0</v>
      </c>
      <c r="I25" s="9">
        <v>1.04</v>
      </c>
      <c r="J25" s="9">
        <v>21.0</v>
      </c>
      <c r="K25" s="9">
        <v>21.0</v>
      </c>
      <c r="L25" s="9">
        <v>7.56</v>
      </c>
      <c r="M25" s="13">
        <f t="shared" si="3"/>
        <v>21</v>
      </c>
      <c r="N25" s="13">
        <f t="shared" si="4"/>
        <v>21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9.51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1.04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7.56</v>
      </c>
    </row>
    <row r="26">
      <c r="A26" s="1" t="s">
        <v>31</v>
      </c>
      <c r="B26" s="12">
        <v>23.0</v>
      </c>
      <c r="C26" s="12">
        <v>23.0</v>
      </c>
      <c r="D26" s="7">
        <f t="shared" si="1"/>
        <v>0</v>
      </c>
      <c r="E26" s="12">
        <v>10.21</v>
      </c>
      <c r="F26" s="9">
        <v>23.0</v>
      </c>
      <c r="G26" s="9">
        <v>23.0</v>
      </c>
      <c r="H26" s="7">
        <f t="shared" si="2"/>
        <v>0</v>
      </c>
      <c r="I26" s="9">
        <v>0.49</v>
      </c>
      <c r="J26" s="9">
        <v>23.0</v>
      </c>
      <c r="K26" s="9">
        <v>23.0</v>
      </c>
      <c r="L26" s="9">
        <v>15.33</v>
      </c>
      <c r="M26" s="13">
        <f t="shared" si="3"/>
        <v>23</v>
      </c>
      <c r="N26" s="13">
        <f t="shared" si="4"/>
        <v>23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10.21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0.49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15.33</v>
      </c>
    </row>
    <row r="27">
      <c r="A27" s="1" t="s">
        <v>32</v>
      </c>
      <c r="B27" s="12">
        <v>26.0</v>
      </c>
      <c r="C27" s="12">
        <v>26.0</v>
      </c>
      <c r="D27" s="7">
        <f t="shared" si="1"/>
        <v>0</v>
      </c>
      <c r="E27" s="12">
        <v>1.13</v>
      </c>
      <c r="F27" s="9">
        <v>26.0</v>
      </c>
      <c r="G27" s="9">
        <v>26.0</v>
      </c>
      <c r="H27" s="7">
        <f t="shared" si="2"/>
        <v>0</v>
      </c>
      <c r="I27" s="9">
        <v>0.25</v>
      </c>
      <c r="J27" s="9">
        <v>26.0</v>
      </c>
      <c r="K27" s="9">
        <v>26.0</v>
      </c>
      <c r="L27" s="9">
        <v>1.0</v>
      </c>
      <c r="M27" s="13">
        <f t="shared" si="3"/>
        <v>26</v>
      </c>
      <c r="N27" s="13">
        <f t="shared" si="4"/>
        <v>26</v>
      </c>
      <c r="O27" s="7">
        <f t="shared" si="5"/>
        <v>0</v>
      </c>
      <c r="Q27" s="7">
        <f t="shared" si="6"/>
        <v>0</v>
      </c>
      <c r="R27" s="7">
        <f t="shared" si="7"/>
        <v>0</v>
      </c>
      <c r="S27" s="13" t="b">
        <f t="shared" si="8"/>
        <v>1</v>
      </c>
      <c r="T27" s="13">
        <f t="shared" si="9"/>
        <v>1.13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0.25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1</v>
      </c>
    </row>
    <row r="28">
      <c r="A28" s="1" t="s">
        <v>33</v>
      </c>
      <c r="B28" s="12">
        <v>24.0</v>
      </c>
      <c r="C28" s="12">
        <v>24.0</v>
      </c>
      <c r="D28" s="7">
        <f t="shared" si="1"/>
        <v>0</v>
      </c>
      <c r="E28" s="12">
        <v>5.82</v>
      </c>
      <c r="F28" s="9">
        <v>24.0</v>
      </c>
      <c r="G28" s="9">
        <v>24.0</v>
      </c>
      <c r="H28" s="7">
        <f t="shared" si="2"/>
        <v>0</v>
      </c>
      <c r="I28" s="9">
        <v>1.79</v>
      </c>
      <c r="J28" s="9">
        <v>24.0</v>
      </c>
      <c r="K28" s="9">
        <v>24.0</v>
      </c>
      <c r="L28" s="9">
        <v>0.76</v>
      </c>
      <c r="M28" s="13">
        <f t="shared" si="3"/>
        <v>24</v>
      </c>
      <c r="N28" s="13">
        <f t="shared" si="4"/>
        <v>24</v>
      </c>
      <c r="O28" s="7">
        <f t="shared" si="5"/>
        <v>0</v>
      </c>
      <c r="Q28" s="7">
        <f t="shared" si="6"/>
        <v>0</v>
      </c>
      <c r="R28" s="7">
        <f t="shared" si="7"/>
        <v>0</v>
      </c>
      <c r="S28" s="13" t="b">
        <f t="shared" si="8"/>
        <v>1</v>
      </c>
      <c r="T28" s="13">
        <f t="shared" si="9"/>
        <v>5.82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1.79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0.76</v>
      </c>
    </row>
    <row r="29">
      <c r="A29" s="1" t="s">
        <v>34</v>
      </c>
      <c r="B29" s="12">
        <v>22.0</v>
      </c>
      <c r="C29" s="12">
        <v>22.0</v>
      </c>
      <c r="D29" s="7">
        <f t="shared" si="1"/>
        <v>0</v>
      </c>
      <c r="E29" s="12">
        <v>3182.61</v>
      </c>
      <c r="F29" s="9">
        <v>22.0</v>
      </c>
      <c r="G29" s="9">
        <v>22.0</v>
      </c>
      <c r="H29" s="7">
        <f t="shared" si="2"/>
        <v>0</v>
      </c>
      <c r="I29" s="9">
        <v>8.81</v>
      </c>
      <c r="J29" s="9">
        <v>22.0</v>
      </c>
      <c r="K29" s="9">
        <v>22.0</v>
      </c>
      <c r="L29" s="9">
        <v>27.78</v>
      </c>
      <c r="M29" s="13">
        <f t="shared" si="3"/>
        <v>22</v>
      </c>
      <c r="N29" s="13">
        <f t="shared" si="4"/>
        <v>22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3182.61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8.81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27.78</v>
      </c>
    </row>
    <row r="30">
      <c r="A30" s="1" t="s">
        <v>35</v>
      </c>
      <c r="B30" s="12">
        <v>25.0</v>
      </c>
      <c r="C30" s="12">
        <v>25.0</v>
      </c>
      <c r="D30" s="7">
        <f t="shared" si="1"/>
        <v>0</v>
      </c>
      <c r="E30" s="12">
        <v>2.13</v>
      </c>
      <c r="F30" s="9">
        <v>25.0</v>
      </c>
      <c r="G30" s="9">
        <v>25.0</v>
      </c>
      <c r="H30" s="7">
        <f t="shared" si="2"/>
        <v>0</v>
      </c>
      <c r="I30" s="9">
        <v>0.56</v>
      </c>
      <c r="J30" s="9">
        <v>25.0</v>
      </c>
      <c r="K30" s="9">
        <v>25.0</v>
      </c>
      <c r="L30" s="9">
        <v>0.43</v>
      </c>
      <c r="M30" s="13">
        <f t="shared" si="3"/>
        <v>25</v>
      </c>
      <c r="N30" s="13">
        <f t="shared" si="4"/>
        <v>25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2.13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0.56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0.43</v>
      </c>
    </row>
    <row r="31">
      <c r="A31" s="1" t="s">
        <v>36</v>
      </c>
      <c r="B31" s="12">
        <v>19.0</v>
      </c>
      <c r="C31" s="12">
        <v>19.0</v>
      </c>
      <c r="D31" s="7">
        <f t="shared" si="1"/>
        <v>0</v>
      </c>
      <c r="E31" s="12">
        <v>29.53</v>
      </c>
      <c r="F31" s="9">
        <v>19.0</v>
      </c>
      <c r="G31" s="9">
        <v>19.0</v>
      </c>
      <c r="H31" s="7">
        <f t="shared" si="2"/>
        <v>0</v>
      </c>
      <c r="I31" s="9">
        <v>4.52</v>
      </c>
      <c r="J31" s="9">
        <v>19.0</v>
      </c>
      <c r="K31" s="9">
        <v>19.0</v>
      </c>
      <c r="L31" s="9">
        <v>4.16</v>
      </c>
      <c r="M31" s="13">
        <f t="shared" si="3"/>
        <v>19</v>
      </c>
      <c r="N31" s="13">
        <f t="shared" si="4"/>
        <v>19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29.53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4.52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4.16</v>
      </c>
    </row>
    <row r="32">
      <c r="A32" s="1" t="s">
        <v>37</v>
      </c>
      <c r="B32" s="12">
        <v>29.0</v>
      </c>
      <c r="C32" s="12">
        <v>29.0</v>
      </c>
      <c r="D32" s="7">
        <f t="shared" si="1"/>
        <v>0</v>
      </c>
      <c r="E32" s="12">
        <v>4.13</v>
      </c>
      <c r="F32" s="9">
        <v>29.0</v>
      </c>
      <c r="G32" s="9">
        <v>29.0</v>
      </c>
      <c r="H32" s="7">
        <f t="shared" si="2"/>
        <v>0</v>
      </c>
      <c r="I32" s="9">
        <v>1.37</v>
      </c>
      <c r="J32" s="9">
        <v>29.0</v>
      </c>
      <c r="K32" s="9">
        <v>29.0</v>
      </c>
      <c r="L32" s="9">
        <v>0.44</v>
      </c>
      <c r="M32" s="13">
        <f t="shared" si="3"/>
        <v>29</v>
      </c>
      <c r="N32" s="13">
        <f t="shared" si="4"/>
        <v>29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4.13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1.37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0.44</v>
      </c>
      <c r="AD32" s="7">
        <f t="shared" ref="AD32:AE32" si="18">AVERAGE(Q3:Q32)</f>
        <v>0.001587301587</v>
      </c>
      <c r="AE32" s="7">
        <f t="shared" si="18"/>
        <v>0</v>
      </c>
      <c r="AF32" s="13">
        <f>COUNTIF(S3:S32, "TRUE")</f>
        <v>30</v>
      </c>
      <c r="AG32" s="13">
        <f>COUNTIF(Q3:Q32,"=0")</f>
        <v>29</v>
      </c>
      <c r="AH32" s="13">
        <f t="shared" ref="AH32:AJ32" si="19">AVERAGE(T3:T32)</f>
        <v>230.8256667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3.859666667</v>
      </c>
      <c r="AN32" s="7">
        <f t="shared" si="20"/>
        <v>0</v>
      </c>
      <c r="AO32" s="7">
        <f t="shared" si="20"/>
        <v>0.00223242971</v>
      </c>
      <c r="AP32" s="13">
        <f>COUNTIF(AA3:AA32, "TRUE")</f>
        <v>30</v>
      </c>
      <c r="AQ32" s="13">
        <f>AVERAGE(AB3:AB32)</f>
        <v>7.783666667</v>
      </c>
    </row>
    <row r="33">
      <c r="A33" s="1" t="s">
        <v>38</v>
      </c>
      <c r="B33" s="12">
        <v>42.0</v>
      </c>
      <c r="C33" s="12">
        <v>42.0</v>
      </c>
      <c r="D33" s="7">
        <f t="shared" si="1"/>
        <v>0</v>
      </c>
      <c r="E33" s="12">
        <v>2064.88</v>
      </c>
      <c r="F33" s="9">
        <v>42.0</v>
      </c>
      <c r="G33" s="9">
        <v>42.0</v>
      </c>
      <c r="H33" s="7">
        <f t="shared" si="2"/>
        <v>0</v>
      </c>
      <c r="I33" s="9">
        <v>50.32</v>
      </c>
      <c r="J33" s="9">
        <v>42.0</v>
      </c>
      <c r="K33" s="9">
        <v>42.0</v>
      </c>
      <c r="L33" s="9">
        <v>30.38</v>
      </c>
      <c r="M33" s="13">
        <f t="shared" si="3"/>
        <v>42</v>
      </c>
      <c r="N33" s="13">
        <f t="shared" si="4"/>
        <v>42</v>
      </c>
      <c r="O33" s="7">
        <f t="shared" si="5"/>
        <v>0</v>
      </c>
      <c r="Q33" s="7">
        <f t="shared" si="6"/>
        <v>0</v>
      </c>
      <c r="R33" s="7">
        <f t="shared" si="7"/>
        <v>0</v>
      </c>
      <c r="S33" s="13" t="b">
        <f t="shared" si="8"/>
        <v>1</v>
      </c>
      <c r="T33" s="13">
        <f t="shared" si="9"/>
        <v>2064.88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50.32</v>
      </c>
      <c r="Y33" s="7">
        <f t="shared" si="14"/>
        <v>0</v>
      </c>
      <c r="Z33" s="7">
        <f t="shared" si="15"/>
        <v>0</v>
      </c>
      <c r="AA33" s="13" t="b">
        <f t="shared" si="16"/>
        <v>1</v>
      </c>
      <c r="AB33" s="13">
        <f t="shared" si="17"/>
        <v>30.38</v>
      </c>
    </row>
    <row r="34">
      <c r="A34" s="1" t="s">
        <v>39</v>
      </c>
      <c r="B34" s="12">
        <v>47.0</v>
      </c>
      <c r="C34" s="12">
        <v>47.0</v>
      </c>
      <c r="D34" s="7">
        <f t="shared" si="1"/>
        <v>0</v>
      </c>
      <c r="E34" s="12">
        <v>1563.72</v>
      </c>
      <c r="F34" s="9">
        <v>47.0</v>
      </c>
      <c r="G34" s="9">
        <v>47.0</v>
      </c>
      <c r="H34" s="7">
        <f t="shared" si="2"/>
        <v>0</v>
      </c>
      <c r="I34" s="9">
        <v>29.71</v>
      </c>
      <c r="J34" s="9">
        <v>47.0</v>
      </c>
      <c r="K34" s="9">
        <v>46.9</v>
      </c>
      <c r="L34" s="9">
        <v>44.36</v>
      </c>
      <c r="M34" s="13">
        <f t="shared" si="3"/>
        <v>47</v>
      </c>
      <c r="N34" s="13">
        <f t="shared" si="4"/>
        <v>47</v>
      </c>
      <c r="O34" s="7">
        <f t="shared" si="5"/>
        <v>0</v>
      </c>
      <c r="Q34" s="7">
        <f t="shared" si="6"/>
        <v>0</v>
      </c>
      <c r="R34" s="7">
        <f t="shared" si="7"/>
        <v>0</v>
      </c>
      <c r="S34" s="13" t="b">
        <f t="shared" si="8"/>
        <v>1</v>
      </c>
      <c r="T34" s="13">
        <f t="shared" si="9"/>
        <v>1563.72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29.71</v>
      </c>
      <c r="Y34" s="7">
        <f t="shared" si="14"/>
        <v>0</v>
      </c>
      <c r="Z34" s="7">
        <f t="shared" si="15"/>
        <v>0.002132196162</v>
      </c>
      <c r="AA34" s="13" t="b">
        <f t="shared" si="16"/>
        <v>1</v>
      </c>
      <c r="AB34" s="13">
        <f t="shared" si="17"/>
        <v>44.36</v>
      </c>
    </row>
    <row r="35">
      <c r="A35" s="1" t="s">
        <v>40</v>
      </c>
      <c r="B35" s="12">
        <v>47.0</v>
      </c>
      <c r="C35" s="12">
        <v>49.0</v>
      </c>
      <c r="D35" s="7">
        <f t="shared" si="1"/>
        <v>0.04255319149</v>
      </c>
      <c r="E35" s="12">
        <v>3600.0</v>
      </c>
      <c r="F35" s="9">
        <v>47.0</v>
      </c>
      <c r="G35" s="9">
        <v>47.0</v>
      </c>
      <c r="H35" s="7">
        <f t="shared" si="2"/>
        <v>0</v>
      </c>
      <c r="I35" s="9">
        <v>287.67</v>
      </c>
      <c r="J35" s="9">
        <v>47.0</v>
      </c>
      <c r="K35" s="9">
        <v>47.0</v>
      </c>
      <c r="L35" s="9">
        <v>22.09</v>
      </c>
      <c r="M35" s="13">
        <f t="shared" si="3"/>
        <v>47</v>
      </c>
      <c r="N35" s="13">
        <f t="shared" si="4"/>
        <v>47</v>
      </c>
      <c r="O35" s="7">
        <f t="shared" si="5"/>
        <v>0</v>
      </c>
      <c r="Q35" s="7">
        <f t="shared" si="6"/>
        <v>0.04255319149</v>
      </c>
      <c r="R35" s="7">
        <f t="shared" si="7"/>
        <v>0</v>
      </c>
      <c r="S35" s="13" t="b">
        <f t="shared" si="8"/>
        <v>1</v>
      </c>
      <c r="T35" s="13">
        <f t="shared" si="9"/>
        <v>3600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287.67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22.09</v>
      </c>
    </row>
    <row r="36">
      <c r="A36" s="1" t="s">
        <v>41</v>
      </c>
      <c r="B36" s="12">
        <v>64.0</v>
      </c>
      <c r="C36" s="12">
        <v>65.0</v>
      </c>
      <c r="D36" s="7">
        <f t="shared" si="1"/>
        <v>0.015625</v>
      </c>
      <c r="E36" s="12">
        <v>3600.0</v>
      </c>
      <c r="F36" s="9">
        <v>65.0</v>
      </c>
      <c r="G36" s="9">
        <v>65.0</v>
      </c>
      <c r="H36" s="7">
        <f t="shared" si="2"/>
        <v>0</v>
      </c>
      <c r="I36" s="9">
        <v>275.25</v>
      </c>
      <c r="J36" s="9">
        <v>65.0</v>
      </c>
      <c r="K36" s="9">
        <v>64.3</v>
      </c>
      <c r="L36" s="9">
        <v>3.96</v>
      </c>
      <c r="M36" s="13">
        <f t="shared" si="3"/>
        <v>65</v>
      </c>
      <c r="N36" s="13">
        <f t="shared" si="4"/>
        <v>65</v>
      </c>
      <c r="O36" s="7">
        <f t="shared" si="5"/>
        <v>0</v>
      </c>
      <c r="Q36" s="7">
        <f t="shared" si="6"/>
        <v>0.015625</v>
      </c>
      <c r="R36" s="7">
        <f t="shared" si="7"/>
        <v>0.015625</v>
      </c>
      <c r="S36" s="13" t="b">
        <f t="shared" si="8"/>
        <v>0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275.25</v>
      </c>
      <c r="Y36" s="7">
        <f t="shared" si="14"/>
        <v>0</v>
      </c>
      <c r="Z36" s="7">
        <f t="shared" si="15"/>
        <v>0.01088646967</v>
      </c>
      <c r="AA36" s="13" t="b">
        <f t="shared" si="16"/>
        <v>1</v>
      </c>
      <c r="AB36" s="13">
        <f t="shared" si="17"/>
        <v>3.96</v>
      </c>
    </row>
    <row r="37">
      <c r="A37" s="1" t="s">
        <v>42</v>
      </c>
      <c r="B37" s="12">
        <v>59.0</v>
      </c>
      <c r="C37" s="12">
        <v>59.0</v>
      </c>
      <c r="D37" s="7">
        <f t="shared" si="1"/>
        <v>0</v>
      </c>
      <c r="E37" s="12">
        <v>2331.13</v>
      </c>
      <c r="F37" s="9">
        <v>59.0</v>
      </c>
      <c r="G37" s="9">
        <v>59.0</v>
      </c>
      <c r="H37" s="7">
        <f t="shared" si="2"/>
        <v>0</v>
      </c>
      <c r="I37" s="9">
        <v>145.03</v>
      </c>
      <c r="J37" s="9">
        <v>59.0</v>
      </c>
      <c r="K37" s="9">
        <v>59.0</v>
      </c>
      <c r="L37" s="9">
        <v>36.8</v>
      </c>
      <c r="M37" s="13">
        <f t="shared" si="3"/>
        <v>59</v>
      </c>
      <c r="N37" s="13">
        <f t="shared" si="4"/>
        <v>59</v>
      </c>
      <c r="O37" s="7">
        <f t="shared" si="5"/>
        <v>0</v>
      </c>
      <c r="Q37" s="7">
        <f t="shared" si="6"/>
        <v>0</v>
      </c>
      <c r="R37" s="7">
        <f t="shared" si="7"/>
        <v>0</v>
      </c>
      <c r="S37" s="13" t="b">
        <f t="shared" si="8"/>
        <v>1</v>
      </c>
      <c r="T37" s="13">
        <f t="shared" si="9"/>
        <v>2331.13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145.03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36.8</v>
      </c>
    </row>
    <row r="38">
      <c r="A38" s="1" t="s">
        <v>43</v>
      </c>
      <c r="B38" s="12">
        <v>68.0</v>
      </c>
      <c r="C38" s="12">
        <v>70.0</v>
      </c>
      <c r="D38" s="7">
        <f t="shared" si="1"/>
        <v>0.02941176471</v>
      </c>
      <c r="E38" s="12">
        <v>3600.0</v>
      </c>
      <c r="F38" s="9">
        <v>68.0</v>
      </c>
      <c r="G38" s="9">
        <v>70.0</v>
      </c>
      <c r="H38" s="7">
        <f t="shared" si="2"/>
        <v>0.02941176471</v>
      </c>
      <c r="I38" s="9">
        <v>3600.0</v>
      </c>
      <c r="J38" s="9">
        <v>68.0</v>
      </c>
      <c r="K38" s="9">
        <v>68.0</v>
      </c>
      <c r="L38" s="9">
        <v>4.0</v>
      </c>
      <c r="M38" s="13">
        <f t="shared" si="3"/>
        <v>68</v>
      </c>
      <c r="N38" s="13">
        <f t="shared" si="4"/>
        <v>70</v>
      </c>
      <c r="O38" s="7">
        <f t="shared" si="5"/>
        <v>0.02941176471</v>
      </c>
      <c r="Q38" s="7">
        <f t="shared" si="6"/>
        <v>0.02941176471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0.02941176471</v>
      </c>
      <c r="V38" s="7">
        <f t="shared" si="11"/>
        <v>0</v>
      </c>
      <c r="W38" s="13" t="b">
        <f t="shared" si="12"/>
        <v>1</v>
      </c>
      <c r="X38" s="13">
        <f t="shared" si="13"/>
        <v>3600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4</v>
      </c>
    </row>
    <row r="39">
      <c r="A39" s="1" t="s">
        <v>44</v>
      </c>
      <c r="B39" s="12">
        <v>68.0</v>
      </c>
      <c r="C39" s="12">
        <v>71.0</v>
      </c>
      <c r="D39" s="7">
        <f t="shared" si="1"/>
        <v>0.04411764706</v>
      </c>
      <c r="E39" s="12">
        <v>3600.0</v>
      </c>
      <c r="F39" s="9">
        <v>71.0</v>
      </c>
      <c r="G39" s="9">
        <v>71.0</v>
      </c>
      <c r="H39" s="7">
        <f t="shared" si="2"/>
        <v>0</v>
      </c>
      <c r="I39" s="9">
        <v>353.98</v>
      </c>
      <c r="J39" s="9">
        <v>71.0</v>
      </c>
      <c r="K39" s="9">
        <v>71.0</v>
      </c>
      <c r="L39" s="9">
        <v>30.29</v>
      </c>
      <c r="M39" s="13">
        <f t="shared" si="3"/>
        <v>71</v>
      </c>
      <c r="N39" s="13">
        <f t="shared" si="4"/>
        <v>71</v>
      </c>
      <c r="O39" s="7">
        <f t="shared" si="5"/>
        <v>0</v>
      </c>
      <c r="Q39" s="7">
        <f t="shared" si="6"/>
        <v>0.04411764706</v>
      </c>
      <c r="R39" s="7">
        <f t="shared" si="7"/>
        <v>0.04411764706</v>
      </c>
      <c r="S39" s="13" t="b">
        <f t="shared" si="8"/>
        <v>0</v>
      </c>
      <c r="T39" s="13">
        <f t="shared" si="9"/>
        <v>3600</v>
      </c>
      <c r="U39" s="7">
        <f t="shared" si="10"/>
        <v>0</v>
      </c>
      <c r="V39" s="7">
        <f t="shared" si="11"/>
        <v>0</v>
      </c>
      <c r="W39" s="13" t="b">
        <f t="shared" si="12"/>
        <v>1</v>
      </c>
      <c r="X39" s="13">
        <f t="shared" si="13"/>
        <v>353.98</v>
      </c>
      <c r="Y39" s="7">
        <f t="shared" si="14"/>
        <v>0</v>
      </c>
      <c r="Z39" s="7">
        <f t="shared" si="15"/>
        <v>0</v>
      </c>
      <c r="AA39" s="13" t="b">
        <f t="shared" si="16"/>
        <v>1</v>
      </c>
      <c r="AB39" s="13">
        <f t="shared" si="17"/>
        <v>30.29</v>
      </c>
    </row>
    <row r="40">
      <c r="A40" s="1" t="s">
        <v>45</v>
      </c>
      <c r="B40" s="12">
        <v>65.0</v>
      </c>
      <c r="C40" s="12">
        <v>65.0</v>
      </c>
      <c r="D40" s="7">
        <f t="shared" si="1"/>
        <v>0</v>
      </c>
      <c r="E40" s="12">
        <v>2547.89</v>
      </c>
      <c r="F40" s="9">
        <v>65.0</v>
      </c>
      <c r="G40" s="9">
        <v>65.0</v>
      </c>
      <c r="H40" s="7">
        <f t="shared" si="2"/>
        <v>0</v>
      </c>
      <c r="I40" s="9">
        <v>113.48</v>
      </c>
      <c r="J40" s="9">
        <v>65.0</v>
      </c>
      <c r="K40" s="9">
        <v>65.0</v>
      </c>
      <c r="L40" s="9">
        <v>14.72</v>
      </c>
      <c r="M40" s="13">
        <f t="shared" si="3"/>
        <v>65</v>
      </c>
      <c r="N40" s="13">
        <f t="shared" si="4"/>
        <v>65</v>
      </c>
      <c r="O40" s="7">
        <f t="shared" si="5"/>
        <v>0</v>
      </c>
      <c r="Q40" s="7">
        <f t="shared" si="6"/>
        <v>0</v>
      </c>
      <c r="R40" s="7">
        <f t="shared" si="7"/>
        <v>0</v>
      </c>
      <c r="S40" s="13" t="b">
        <f t="shared" si="8"/>
        <v>1</v>
      </c>
      <c r="T40" s="13">
        <f t="shared" si="9"/>
        <v>2547.89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113.48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14.72</v>
      </c>
    </row>
    <row r="41">
      <c r="A41" s="1" t="s">
        <v>46</v>
      </c>
      <c r="B41" s="12">
        <v>76.0</v>
      </c>
      <c r="C41" s="12">
        <v>79.0</v>
      </c>
      <c r="D41" s="7">
        <f t="shared" si="1"/>
        <v>0.03947368421</v>
      </c>
      <c r="E41" s="12">
        <v>3600.0</v>
      </c>
      <c r="F41" s="9">
        <v>76.0</v>
      </c>
      <c r="G41" s="9">
        <v>76.0</v>
      </c>
      <c r="H41" s="7">
        <f t="shared" si="2"/>
        <v>0</v>
      </c>
      <c r="I41" s="9">
        <v>1129.03</v>
      </c>
      <c r="J41" s="9">
        <v>76.0</v>
      </c>
      <c r="K41" s="9">
        <v>76.0</v>
      </c>
      <c r="L41" s="9">
        <v>18.9</v>
      </c>
      <c r="M41" s="13">
        <f t="shared" si="3"/>
        <v>76</v>
      </c>
      <c r="N41" s="13">
        <f t="shared" si="4"/>
        <v>76</v>
      </c>
      <c r="O41" s="7">
        <f t="shared" si="5"/>
        <v>0</v>
      </c>
      <c r="Q41" s="7">
        <f t="shared" si="6"/>
        <v>0.03947368421</v>
      </c>
      <c r="R41" s="7">
        <f t="shared" si="7"/>
        <v>0</v>
      </c>
      <c r="S41" s="13" t="b">
        <f t="shared" si="8"/>
        <v>1</v>
      </c>
      <c r="T41" s="13">
        <f t="shared" si="9"/>
        <v>3600</v>
      </c>
      <c r="U41" s="7">
        <f t="shared" si="10"/>
        <v>0</v>
      </c>
      <c r="V41" s="7">
        <f t="shared" si="11"/>
        <v>0</v>
      </c>
      <c r="W41" s="13" t="b">
        <f t="shared" si="12"/>
        <v>1</v>
      </c>
      <c r="X41" s="13">
        <f t="shared" si="13"/>
        <v>1129.03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18.9</v>
      </c>
    </row>
    <row r="42">
      <c r="A42" s="1" t="s">
        <v>47</v>
      </c>
      <c r="B42" s="12">
        <v>80.0</v>
      </c>
      <c r="C42" s="12">
        <v>82.0</v>
      </c>
      <c r="D42" s="7">
        <f t="shared" si="1"/>
        <v>0.025</v>
      </c>
      <c r="E42" s="12">
        <v>3600.0</v>
      </c>
      <c r="F42" s="9">
        <v>82.0</v>
      </c>
      <c r="G42" s="9">
        <v>82.0</v>
      </c>
      <c r="H42" s="7">
        <f t="shared" si="2"/>
        <v>0</v>
      </c>
      <c r="I42" s="9">
        <v>178.93</v>
      </c>
      <c r="J42" s="9">
        <v>82.0</v>
      </c>
      <c r="K42" s="9">
        <v>81.3</v>
      </c>
      <c r="L42" s="9">
        <v>41.17</v>
      </c>
      <c r="M42" s="13">
        <f t="shared" si="3"/>
        <v>82</v>
      </c>
      <c r="N42" s="13">
        <f t="shared" si="4"/>
        <v>82</v>
      </c>
      <c r="O42" s="7">
        <f t="shared" si="5"/>
        <v>0</v>
      </c>
      <c r="Q42" s="7">
        <f t="shared" si="6"/>
        <v>0.025</v>
      </c>
      <c r="R42" s="7">
        <f t="shared" si="7"/>
        <v>0.025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178.93</v>
      </c>
      <c r="Y42" s="7">
        <f t="shared" si="14"/>
        <v>0</v>
      </c>
      <c r="Z42" s="7">
        <f t="shared" si="15"/>
        <v>0.008610086101</v>
      </c>
      <c r="AA42" s="13" t="b">
        <f t="shared" si="16"/>
        <v>1</v>
      </c>
      <c r="AB42" s="13">
        <f t="shared" si="17"/>
        <v>41.17</v>
      </c>
    </row>
    <row r="43">
      <c r="A43" s="1" t="s">
        <v>48</v>
      </c>
      <c r="B43" s="12">
        <v>92.0</v>
      </c>
      <c r="C43" s="12">
        <v>93.0</v>
      </c>
      <c r="D43" s="7">
        <f t="shared" si="1"/>
        <v>0.01086956522</v>
      </c>
      <c r="E43" s="12">
        <v>3600.0</v>
      </c>
      <c r="F43" s="9">
        <v>93.0</v>
      </c>
      <c r="G43" s="9">
        <v>93.0</v>
      </c>
      <c r="H43" s="7">
        <f t="shared" si="2"/>
        <v>0</v>
      </c>
      <c r="I43" s="9">
        <v>61.33</v>
      </c>
      <c r="J43" s="9">
        <v>93.0</v>
      </c>
      <c r="K43" s="9">
        <v>92.9</v>
      </c>
      <c r="L43" s="9">
        <v>97.2</v>
      </c>
      <c r="M43" s="13">
        <f t="shared" si="3"/>
        <v>93</v>
      </c>
      <c r="N43" s="13">
        <f t="shared" si="4"/>
        <v>93</v>
      </c>
      <c r="O43" s="7">
        <f t="shared" si="5"/>
        <v>0</v>
      </c>
      <c r="Q43" s="7">
        <f t="shared" si="6"/>
        <v>0.01086956522</v>
      </c>
      <c r="R43" s="7">
        <f t="shared" si="7"/>
        <v>0.01086956522</v>
      </c>
      <c r="S43" s="13" t="b">
        <f t="shared" si="8"/>
        <v>0</v>
      </c>
      <c r="T43" s="13">
        <f t="shared" si="9"/>
        <v>3600</v>
      </c>
      <c r="U43" s="7">
        <f t="shared" si="10"/>
        <v>0</v>
      </c>
      <c r="V43" s="7">
        <f t="shared" si="11"/>
        <v>0</v>
      </c>
      <c r="W43" s="13" t="b">
        <f t="shared" si="12"/>
        <v>1</v>
      </c>
      <c r="X43" s="13">
        <f t="shared" si="13"/>
        <v>61.33</v>
      </c>
      <c r="Y43" s="7">
        <f t="shared" si="14"/>
        <v>0</v>
      </c>
      <c r="Z43" s="7">
        <f t="shared" si="15"/>
        <v>0.001076426265</v>
      </c>
      <c r="AA43" s="13" t="b">
        <f t="shared" si="16"/>
        <v>1</v>
      </c>
      <c r="AB43" s="13">
        <f t="shared" si="17"/>
        <v>97.2</v>
      </c>
    </row>
    <row r="44">
      <c r="A44" s="1" t="s">
        <v>49</v>
      </c>
      <c r="B44" s="12">
        <v>91.0</v>
      </c>
      <c r="C44" s="12">
        <v>92.0</v>
      </c>
      <c r="D44" s="7">
        <f t="shared" si="1"/>
        <v>0.01098901099</v>
      </c>
      <c r="E44" s="12">
        <v>3600.0</v>
      </c>
      <c r="F44" s="9">
        <v>92.0</v>
      </c>
      <c r="G44" s="9">
        <v>92.0</v>
      </c>
      <c r="H44" s="7">
        <f t="shared" si="2"/>
        <v>0</v>
      </c>
      <c r="I44" s="9">
        <v>53.93</v>
      </c>
      <c r="J44" s="9">
        <v>92.0</v>
      </c>
      <c r="K44" s="9">
        <v>91.6</v>
      </c>
      <c r="L44" s="9">
        <v>69.69</v>
      </c>
      <c r="M44" s="13">
        <f t="shared" si="3"/>
        <v>92</v>
      </c>
      <c r="N44" s="13">
        <f t="shared" si="4"/>
        <v>92</v>
      </c>
      <c r="O44" s="7">
        <f t="shared" si="5"/>
        <v>0</v>
      </c>
      <c r="Q44" s="7">
        <f t="shared" si="6"/>
        <v>0.01098901099</v>
      </c>
      <c r="R44" s="7">
        <f t="shared" si="7"/>
        <v>0.01098901099</v>
      </c>
      <c r="S44" s="13" t="b">
        <f t="shared" si="8"/>
        <v>0</v>
      </c>
      <c r="T44" s="13">
        <f t="shared" si="9"/>
        <v>3600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53.93</v>
      </c>
      <c r="Y44" s="7">
        <f t="shared" si="14"/>
        <v>0</v>
      </c>
      <c r="Z44" s="7">
        <f t="shared" si="15"/>
        <v>0.004366812227</v>
      </c>
      <c r="AA44" s="13" t="b">
        <f t="shared" si="16"/>
        <v>1</v>
      </c>
      <c r="AB44" s="13">
        <f t="shared" si="17"/>
        <v>69.69</v>
      </c>
    </row>
    <row r="45">
      <c r="A45" s="1" t="s">
        <v>50</v>
      </c>
      <c r="B45" s="12">
        <v>92.0</v>
      </c>
      <c r="C45" s="12">
        <v>100.0</v>
      </c>
      <c r="D45" s="7">
        <f t="shared" si="1"/>
        <v>0.08695652174</v>
      </c>
      <c r="E45" s="12">
        <v>3600.0</v>
      </c>
      <c r="F45" s="9">
        <v>100.0</v>
      </c>
      <c r="G45" s="9">
        <v>100.0</v>
      </c>
      <c r="H45" s="7">
        <f t="shared" si="2"/>
        <v>0</v>
      </c>
      <c r="I45" s="9">
        <v>71.01</v>
      </c>
      <c r="J45" s="9">
        <v>100.0</v>
      </c>
      <c r="K45" s="9">
        <v>99.8</v>
      </c>
      <c r="L45" s="9">
        <v>85.68</v>
      </c>
      <c r="M45" s="13">
        <f t="shared" si="3"/>
        <v>100</v>
      </c>
      <c r="N45" s="13">
        <f t="shared" si="4"/>
        <v>100</v>
      </c>
      <c r="O45" s="7">
        <f t="shared" si="5"/>
        <v>0</v>
      </c>
      <c r="Q45" s="7">
        <f t="shared" si="6"/>
        <v>0.08695652174</v>
      </c>
      <c r="R45" s="7">
        <f t="shared" si="7"/>
        <v>0.08695652174</v>
      </c>
      <c r="S45" s="13" t="b">
        <f t="shared" si="8"/>
        <v>0</v>
      </c>
      <c r="T45" s="13">
        <f t="shared" si="9"/>
        <v>3600</v>
      </c>
      <c r="U45" s="7">
        <f t="shared" si="10"/>
        <v>0</v>
      </c>
      <c r="V45" s="7">
        <f t="shared" si="11"/>
        <v>0</v>
      </c>
      <c r="W45" s="13" t="b">
        <f t="shared" si="12"/>
        <v>1</v>
      </c>
      <c r="X45" s="13">
        <f t="shared" si="13"/>
        <v>71.01</v>
      </c>
      <c r="Y45" s="7">
        <f t="shared" si="14"/>
        <v>0</v>
      </c>
      <c r="Z45" s="7">
        <f t="shared" si="15"/>
        <v>0.002004008016</v>
      </c>
      <c r="AA45" s="13" t="b">
        <f t="shared" si="16"/>
        <v>1</v>
      </c>
      <c r="AB45" s="13">
        <f t="shared" si="17"/>
        <v>85.68</v>
      </c>
    </row>
    <row r="46">
      <c r="A46" s="1" t="s">
        <v>51</v>
      </c>
      <c r="B46" s="12">
        <v>80.0</v>
      </c>
      <c r="C46" s="12">
        <v>97.0</v>
      </c>
      <c r="D46" s="7">
        <f t="shared" si="1"/>
        <v>0.2125</v>
      </c>
      <c r="E46" s="12">
        <v>3600.0</v>
      </c>
      <c r="F46" s="9">
        <v>83.0</v>
      </c>
      <c r="G46" s="9">
        <v>83.0</v>
      </c>
      <c r="H46" s="7">
        <f t="shared" si="2"/>
        <v>0</v>
      </c>
      <c r="I46" s="9">
        <v>1670.27</v>
      </c>
      <c r="J46" s="9">
        <v>83.0</v>
      </c>
      <c r="K46" s="9">
        <v>83.0</v>
      </c>
      <c r="L46" s="9">
        <v>64.62</v>
      </c>
      <c r="M46" s="13">
        <f t="shared" si="3"/>
        <v>83</v>
      </c>
      <c r="N46" s="13">
        <f t="shared" si="4"/>
        <v>83</v>
      </c>
      <c r="O46" s="7">
        <f t="shared" si="5"/>
        <v>0</v>
      </c>
      <c r="Q46" s="7">
        <f t="shared" si="6"/>
        <v>0.2125</v>
      </c>
      <c r="R46" s="7">
        <f t="shared" si="7"/>
        <v>0.0375</v>
      </c>
      <c r="S46" s="13" t="b">
        <f t="shared" si="8"/>
        <v>0</v>
      </c>
      <c r="T46" s="13">
        <f t="shared" si="9"/>
        <v>3600</v>
      </c>
      <c r="U46" s="7">
        <f t="shared" si="10"/>
        <v>0</v>
      </c>
      <c r="V46" s="7">
        <f t="shared" si="11"/>
        <v>0</v>
      </c>
      <c r="W46" s="13" t="b">
        <f t="shared" si="12"/>
        <v>1</v>
      </c>
      <c r="X46" s="13">
        <f t="shared" si="13"/>
        <v>1670.27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64.62</v>
      </c>
    </row>
    <row r="47">
      <c r="A47" s="1" t="s">
        <v>52</v>
      </c>
      <c r="B47" s="12">
        <v>91.0</v>
      </c>
      <c r="C47" s="12">
        <v>95.0</v>
      </c>
      <c r="D47" s="7">
        <f t="shared" si="1"/>
        <v>0.04395604396</v>
      </c>
      <c r="E47" s="12">
        <v>3600.0</v>
      </c>
      <c r="F47" s="9">
        <v>92.0</v>
      </c>
      <c r="G47" s="9">
        <v>92.0</v>
      </c>
      <c r="H47" s="7">
        <f t="shared" si="2"/>
        <v>0</v>
      </c>
      <c r="I47" s="9">
        <v>1012.62</v>
      </c>
      <c r="J47" s="9">
        <v>92.0</v>
      </c>
      <c r="K47" s="9">
        <v>92.0</v>
      </c>
      <c r="L47" s="9">
        <v>143.04</v>
      </c>
      <c r="M47" s="13">
        <f t="shared" si="3"/>
        <v>92</v>
      </c>
      <c r="N47" s="13">
        <f t="shared" si="4"/>
        <v>92</v>
      </c>
      <c r="O47" s="7">
        <f t="shared" si="5"/>
        <v>0</v>
      </c>
      <c r="Q47" s="7">
        <f t="shared" si="6"/>
        <v>0.04395604396</v>
      </c>
      <c r="R47" s="7">
        <f t="shared" si="7"/>
        <v>0.01098901099</v>
      </c>
      <c r="S47" s="13" t="b">
        <f t="shared" si="8"/>
        <v>0</v>
      </c>
      <c r="T47" s="13">
        <f t="shared" si="9"/>
        <v>3600</v>
      </c>
      <c r="U47" s="7">
        <f t="shared" si="10"/>
        <v>0</v>
      </c>
      <c r="V47" s="7">
        <f t="shared" si="11"/>
        <v>0</v>
      </c>
      <c r="W47" s="13" t="b">
        <f t="shared" si="12"/>
        <v>1</v>
      </c>
      <c r="X47" s="13">
        <f t="shared" si="13"/>
        <v>1012.62</v>
      </c>
      <c r="Y47" s="7">
        <f t="shared" si="14"/>
        <v>0</v>
      </c>
      <c r="Z47" s="7">
        <f t="shared" si="15"/>
        <v>0</v>
      </c>
      <c r="AA47" s="13" t="b">
        <f t="shared" si="16"/>
        <v>1</v>
      </c>
      <c r="AB47" s="13">
        <f t="shared" si="17"/>
        <v>143.04</v>
      </c>
    </row>
    <row r="48">
      <c r="A48" s="1" t="s">
        <v>53</v>
      </c>
      <c r="B48" s="12">
        <v>102.0</v>
      </c>
      <c r="C48" s="12">
        <v>106.0</v>
      </c>
      <c r="D48" s="7">
        <f t="shared" si="1"/>
        <v>0.03921568627</v>
      </c>
      <c r="E48" s="12">
        <v>3600.0</v>
      </c>
      <c r="F48" s="9">
        <v>106.0</v>
      </c>
      <c r="G48" s="9">
        <v>106.0</v>
      </c>
      <c r="H48" s="7">
        <f t="shared" si="2"/>
        <v>0</v>
      </c>
      <c r="I48" s="9">
        <v>691.87</v>
      </c>
      <c r="J48" s="9">
        <v>106.0</v>
      </c>
      <c r="K48" s="9">
        <v>105.7</v>
      </c>
      <c r="L48" s="9">
        <v>82.82</v>
      </c>
      <c r="M48" s="13">
        <f t="shared" si="3"/>
        <v>106</v>
      </c>
      <c r="N48" s="13">
        <f t="shared" si="4"/>
        <v>106</v>
      </c>
      <c r="O48" s="7">
        <f t="shared" si="5"/>
        <v>0</v>
      </c>
      <c r="Q48" s="7">
        <f t="shared" si="6"/>
        <v>0.03921568627</v>
      </c>
      <c r="R48" s="7">
        <f t="shared" si="7"/>
        <v>0.03921568627</v>
      </c>
      <c r="S48" s="13" t="b">
        <f t="shared" si="8"/>
        <v>0</v>
      </c>
      <c r="T48" s="13">
        <f t="shared" si="9"/>
        <v>3600</v>
      </c>
      <c r="U48" s="7">
        <f t="shared" si="10"/>
        <v>0</v>
      </c>
      <c r="V48" s="7">
        <f t="shared" si="11"/>
        <v>0</v>
      </c>
      <c r="W48" s="13" t="b">
        <f t="shared" si="12"/>
        <v>1</v>
      </c>
      <c r="X48" s="13">
        <f t="shared" si="13"/>
        <v>691.87</v>
      </c>
      <c r="Y48" s="7">
        <f t="shared" si="14"/>
        <v>0</v>
      </c>
      <c r="Z48" s="7">
        <f t="shared" si="15"/>
        <v>0.002838221381</v>
      </c>
      <c r="AA48" s="13" t="b">
        <f t="shared" si="16"/>
        <v>1</v>
      </c>
      <c r="AB48" s="13">
        <f t="shared" si="17"/>
        <v>82.82</v>
      </c>
    </row>
    <row r="49">
      <c r="A49" s="1" t="s">
        <v>54</v>
      </c>
      <c r="B49" s="12">
        <v>111.0</v>
      </c>
      <c r="C49" s="12">
        <v>113.0</v>
      </c>
      <c r="D49" s="7">
        <f t="shared" si="1"/>
        <v>0.01801801802</v>
      </c>
      <c r="E49" s="12">
        <v>3600.0</v>
      </c>
      <c r="F49" s="9">
        <v>113.0</v>
      </c>
      <c r="G49" s="9">
        <v>113.0</v>
      </c>
      <c r="H49" s="7">
        <f t="shared" si="2"/>
        <v>0</v>
      </c>
      <c r="I49" s="9">
        <v>63.85</v>
      </c>
      <c r="J49" s="9">
        <v>113.0</v>
      </c>
      <c r="K49" s="9">
        <v>113.0</v>
      </c>
      <c r="L49" s="9">
        <v>207.03</v>
      </c>
      <c r="M49" s="13">
        <f t="shared" si="3"/>
        <v>113</v>
      </c>
      <c r="N49" s="13">
        <f t="shared" si="4"/>
        <v>113</v>
      </c>
      <c r="O49" s="7">
        <f t="shared" si="5"/>
        <v>0</v>
      </c>
      <c r="Q49" s="7">
        <f t="shared" si="6"/>
        <v>0.01801801802</v>
      </c>
      <c r="R49" s="7">
        <f t="shared" si="7"/>
        <v>0.01801801802</v>
      </c>
      <c r="S49" s="13" t="b">
        <f t="shared" si="8"/>
        <v>0</v>
      </c>
      <c r="T49" s="13">
        <f t="shared" si="9"/>
        <v>3600</v>
      </c>
      <c r="U49" s="7">
        <f t="shared" si="10"/>
        <v>0</v>
      </c>
      <c r="V49" s="7">
        <f t="shared" si="11"/>
        <v>0</v>
      </c>
      <c r="W49" s="13" t="b">
        <f t="shared" si="12"/>
        <v>1</v>
      </c>
      <c r="X49" s="13">
        <f t="shared" si="13"/>
        <v>63.85</v>
      </c>
      <c r="Y49" s="7">
        <f t="shared" si="14"/>
        <v>0</v>
      </c>
      <c r="Z49" s="7">
        <f t="shared" si="15"/>
        <v>0</v>
      </c>
      <c r="AA49" s="13" t="b">
        <f t="shared" si="16"/>
        <v>1</v>
      </c>
      <c r="AB49" s="13">
        <f t="shared" si="17"/>
        <v>207.03</v>
      </c>
    </row>
    <row r="50">
      <c r="A50" s="1" t="s">
        <v>55</v>
      </c>
      <c r="B50" s="12">
        <v>108.0</v>
      </c>
      <c r="C50" s="12">
        <v>119.0</v>
      </c>
      <c r="D50" s="7">
        <f t="shared" si="1"/>
        <v>0.1018518519</v>
      </c>
      <c r="E50" s="12">
        <v>3600.0</v>
      </c>
      <c r="F50" s="9">
        <v>114.0</v>
      </c>
      <c r="G50" s="9">
        <v>114.0</v>
      </c>
      <c r="H50" s="7">
        <f t="shared" si="2"/>
        <v>0</v>
      </c>
      <c r="I50" s="9">
        <v>496.02</v>
      </c>
      <c r="J50" s="9">
        <v>114.0</v>
      </c>
      <c r="K50" s="9">
        <v>113.8</v>
      </c>
      <c r="L50" s="9">
        <v>79.45</v>
      </c>
      <c r="M50" s="13">
        <f t="shared" si="3"/>
        <v>114</v>
      </c>
      <c r="N50" s="13">
        <f t="shared" si="4"/>
        <v>114</v>
      </c>
      <c r="O50" s="7">
        <f t="shared" si="5"/>
        <v>0</v>
      </c>
      <c r="Q50" s="7">
        <f t="shared" si="6"/>
        <v>0.1018518519</v>
      </c>
      <c r="R50" s="7">
        <f t="shared" si="7"/>
        <v>0.05555555556</v>
      </c>
      <c r="S50" s="13" t="b">
        <f t="shared" si="8"/>
        <v>0</v>
      </c>
      <c r="T50" s="13">
        <f t="shared" si="9"/>
        <v>3600</v>
      </c>
      <c r="U50" s="7">
        <f t="shared" si="10"/>
        <v>0</v>
      </c>
      <c r="V50" s="7">
        <f t="shared" si="11"/>
        <v>0</v>
      </c>
      <c r="W50" s="13" t="b">
        <f t="shared" si="12"/>
        <v>1</v>
      </c>
      <c r="X50" s="13">
        <f t="shared" si="13"/>
        <v>496.02</v>
      </c>
      <c r="Y50" s="7">
        <f t="shared" si="14"/>
        <v>0</v>
      </c>
      <c r="Z50" s="7">
        <f t="shared" si="15"/>
        <v>0.001757469244</v>
      </c>
      <c r="AA50" s="13" t="b">
        <f t="shared" si="16"/>
        <v>1</v>
      </c>
      <c r="AB50" s="13">
        <f t="shared" si="17"/>
        <v>79.45</v>
      </c>
    </row>
    <row r="51">
      <c r="A51" s="1" t="s">
        <v>56</v>
      </c>
      <c r="B51" s="12">
        <v>105.0</v>
      </c>
      <c r="C51" s="12">
        <v>116.0</v>
      </c>
      <c r="D51" s="7">
        <f t="shared" si="1"/>
        <v>0.1047619048</v>
      </c>
      <c r="E51" s="12">
        <v>3600.0</v>
      </c>
      <c r="F51" s="9">
        <v>115.0</v>
      </c>
      <c r="G51" s="9">
        <v>115.0</v>
      </c>
      <c r="H51" s="7">
        <f t="shared" si="2"/>
        <v>0</v>
      </c>
      <c r="I51" s="9">
        <v>1963.23</v>
      </c>
      <c r="J51" s="9">
        <v>115.0</v>
      </c>
      <c r="K51" s="9">
        <v>114.0</v>
      </c>
      <c r="L51" s="9">
        <v>93.89</v>
      </c>
      <c r="M51" s="13">
        <f t="shared" si="3"/>
        <v>115</v>
      </c>
      <c r="N51" s="13">
        <f t="shared" si="4"/>
        <v>115</v>
      </c>
      <c r="O51" s="7">
        <f t="shared" si="5"/>
        <v>0</v>
      </c>
      <c r="Q51" s="7">
        <f t="shared" si="6"/>
        <v>0.1047619048</v>
      </c>
      <c r="R51" s="7">
        <f t="shared" si="7"/>
        <v>0.09523809524</v>
      </c>
      <c r="S51" s="13" t="b">
        <f t="shared" si="8"/>
        <v>0</v>
      </c>
      <c r="T51" s="13">
        <f t="shared" si="9"/>
        <v>3600</v>
      </c>
      <c r="U51" s="7">
        <f t="shared" si="10"/>
        <v>0</v>
      </c>
      <c r="V51" s="7">
        <f t="shared" si="11"/>
        <v>0</v>
      </c>
      <c r="W51" s="13" t="b">
        <f t="shared" si="12"/>
        <v>1</v>
      </c>
      <c r="X51" s="13">
        <f t="shared" si="13"/>
        <v>1963.23</v>
      </c>
      <c r="Y51" s="7">
        <f t="shared" si="14"/>
        <v>0</v>
      </c>
      <c r="Z51" s="7">
        <f t="shared" si="15"/>
        <v>0.008771929825</v>
      </c>
      <c r="AA51" s="13" t="b">
        <f t="shared" si="16"/>
        <v>1</v>
      </c>
      <c r="AB51" s="13">
        <f t="shared" si="17"/>
        <v>93.89</v>
      </c>
    </row>
    <row r="52">
      <c r="A52" s="1" t="s">
        <v>57</v>
      </c>
      <c r="B52" s="12">
        <v>133.0</v>
      </c>
      <c r="C52" s="12">
        <v>140.0</v>
      </c>
      <c r="D52" s="7">
        <f t="shared" si="1"/>
        <v>0.05263157895</v>
      </c>
      <c r="E52" s="12">
        <v>3600.0</v>
      </c>
      <c r="F52" s="9">
        <v>138.0</v>
      </c>
      <c r="G52" s="9">
        <v>138.0</v>
      </c>
      <c r="H52" s="7">
        <f t="shared" si="2"/>
        <v>0</v>
      </c>
      <c r="I52" s="9">
        <v>1315.72</v>
      </c>
      <c r="J52" s="9">
        <v>138.0</v>
      </c>
      <c r="K52" s="9">
        <v>137.9</v>
      </c>
      <c r="L52" s="9">
        <v>206.39</v>
      </c>
      <c r="M52" s="13">
        <f t="shared" si="3"/>
        <v>138</v>
      </c>
      <c r="N52" s="13">
        <f t="shared" si="4"/>
        <v>138</v>
      </c>
      <c r="O52" s="7">
        <f t="shared" si="5"/>
        <v>0</v>
      </c>
      <c r="Q52" s="7">
        <f t="shared" si="6"/>
        <v>0.05263157895</v>
      </c>
      <c r="R52" s="7">
        <f t="shared" si="7"/>
        <v>0.03759398496</v>
      </c>
      <c r="S52" s="13" t="b">
        <f t="shared" si="8"/>
        <v>0</v>
      </c>
      <c r="T52" s="13">
        <f t="shared" si="9"/>
        <v>3600</v>
      </c>
      <c r="U52" s="7">
        <f t="shared" si="10"/>
        <v>0</v>
      </c>
      <c r="V52" s="7">
        <f t="shared" si="11"/>
        <v>0</v>
      </c>
      <c r="W52" s="13" t="b">
        <f t="shared" si="12"/>
        <v>1</v>
      </c>
      <c r="X52" s="13">
        <f t="shared" si="13"/>
        <v>1315.72</v>
      </c>
      <c r="Y52" s="7">
        <f t="shared" si="14"/>
        <v>0</v>
      </c>
      <c r="Z52" s="7">
        <f t="shared" si="15"/>
        <v>0.0007251631617</v>
      </c>
      <c r="AA52" s="13" t="b">
        <f t="shared" si="16"/>
        <v>1</v>
      </c>
      <c r="AB52" s="13">
        <f t="shared" si="17"/>
        <v>206.39</v>
      </c>
    </row>
    <row r="53">
      <c r="A53" s="1" t="s">
        <v>58</v>
      </c>
      <c r="B53" s="12">
        <v>122.0</v>
      </c>
      <c r="C53" s="12">
        <v>154.0</v>
      </c>
      <c r="D53" s="7">
        <f t="shared" si="1"/>
        <v>0.262295082</v>
      </c>
      <c r="E53" s="12">
        <v>3600.0</v>
      </c>
      <c r="F53" s="9">
        <v>129.0</v>
      </c>
      <c r="G53" s="9">
        <v>154.0</v>
      </c>
      <c r="H53" s="7">
        <f t="shared" si="2"/>
        <v>0.1937984496</v>
      </c>
      <c r="I53" s="9">
        <v>3600.0</v>
      </c>
      <c r="J53" s="9">
        <v>129.0</v>
      </c>
      <c r="K53" s="9">
        <v>129.0</v>
      </c>
      <c r="L53" s="9">
        <v>43.06</v>
      </c>
      <c r="M53" s="13">
        <f t="shared" si="3"/>
        <v>129</v>
      </c>
      <c r="N53" s="13">
        <f t="shared" si="4"/>
        <v>154</v>
      </c>
      <c r="O53" s="7">
        <f t="shared" si="5"/>
        <v>0.1937984496</v>
      </c>
      <c r="Q53" s="7">
        <f t="shared" si="6"/>
        <v>0.262295082</v>
      </c>
      <c r="R53" s="7">
        <f t="shared" si="7"/>
        <v>0.05737704918</v>
      </c>
      <c r="S53" s="13" t="b">
        <f t="shared" si="8"/>
        <v>0</v>
      </c>
      <c r="T53" s="13">
        <f t="shared" si="9"/>
        <v>3600</v>
      </c>
      <c r="U53" s="7">
        <f t="shared" si="10"/>
        <v>0.1937984496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43.06</v>
      </c>
    </row>
    <row r="54">
      <c r="A54" s="1" t="s">
        <v>59</v>
      </c>
      <c r="B54" s="12">
        <v>134.0</v>
      </c>
      <c r="C54" s="12">
        <v>153.0</v>
      </c>
      <c r="D54" s="7">
        <f t="shared" si="1"/>
        <v>0.1417910448</v>
      </c>
      <c r="E54" s="12">
        <v>3600.0</v>
      </c>
      <c r="F54" s="9">
        <v>152.0</v>
      </c>
      <c r="G54" s="9">
        <v>152.0</v>
      </c>
      <c r="H54" s="7">
        <f t="shared" si="2"/>
        <v>0</v>
      </c>
      <c r="I54" s="9">
        <v>206.78</v>
      </c>
      <c r="J54" s="9">
        <v>151.0</v>
      </c>
      <c r="K54" s="9">
        <v>150.3</v>
      </c>
      <c r="L54" s="9">
        <v>153.14</v>
      </c>
      <c r="M54" s="13">
        <f t="shared" si="3"/>
        <v>152</v>
      </c>
      <c r="N54" s="13">
        <f t="shared" si="4"/>
        <v>152</v>
      </c>
      <c r="O54" s="7">
        <f t="shared" si="5"/>
        <v>0</v>
      </c>
      <c r="Q54" s="7">
        <f t="shared" si="6"/>
        <v>0.1417910448</v>
      </c>
      <c r="R54" s="7">
        <f t="shared" si="7"/>
        <v>0.1343283582</v>
      </c>
      <c r="S54" s="13" t="b">
        <f t="shared" si="8"/>
        <v>0</v>
      </c>
      <c r="T54" s="13">
        <f t="shared" si="9"/>
        <v>3600</v>
      </c>
      <c r="U54" s="7">
        <f t="shared" si="10"/>
        <v>0</v>
      </c>
      <c r="V54" s="7">
        <f t="shared" si="11"/>
        <v>0</v>
      </c>
      <c r="W54" s="13" t="b">
        <f t="shared" si="12"/>
        <v>1</v>
      </c>
      <c r="X54" s="13">
        <f t="shared" si="13"/>
        <v>206.78</v>
      </c>
      <c r="Y54" s="7">
        <f t="shared" si="14"/>
        <v>0.006622516556</v>
      </c>
      <c r="Z54" s="7">
        <f t="shared" si="15"/>
        <v>0.01131071191</v>
      </c>
      <c r="AA54" s="13" t="b">
        <f t="shared" si="16"/>
        <v>0</v>
      </c>
      <c r="AB54" s="13">
        <f t="shared" si="17"/>
        <v>153.14</v>
      </c>
    </row>
    <row r="55">
      <c r="A55" s="1" t="s">
        <v>60</v>
      </c>
      <c r="B55" s="12">
        <v>114.0</v>
      </c>
      <c r="C55" s="12">
        <v>152.0</v>
      </c>
      <c r="D55" s="7">
        <f t="shared" si="1"/>
        <v>0.3333333333</v>
      </c>
      <c r="E55" s="12">
        <v>3600.0</v>
      </c>
      <c r="F55" s="9">
        <v>150.0</v>
      </c>
      <c r="G55" s="9">
        <v>150.0</v>
      </c>
      <c r="H55" s="7">
        <f t="shared" si="2"/>
        <v>0</v>
      </c>
      <c r="I55" s="9">
        <v>1193.56</v>
      </c>
      <c r="J55" s="9">
        <v>149.0</v>
      </c>
      <c r="K55" s="9">
        <v>147.4</v>
      </c>
      <c r="L55" s="9">
        <v>242.75</v>
      </c>
      <c r="M55" s="13">
        <f t="shared" si="3"/>
        <v>150</v>
      </c>
      <c r="N55" s="13">
        <f t="shared" si="4"/>
        <v>150</v>
      </c>
      <c r="O55" s="7">
        <f t="shared" si="5"/>
        <v>0</v>
      </c>
      <c r="Q55" s="7">
        <f t="shared" si="6"/>
        <v>0.3333333333</v>
      </c>
      <c r="R55" s="7">
        <f t="shared" si="7"/>
        <v>0.3157894737</v>
      </c>
      <c r="S55" s="13" t="b">
        <f t="shared" si="8"/>
        <v>0</v>
      </c>
      <c r="T55" s="13">
        <f t="shared" si="9"/>
        <v>3600</v>
      </c>
      <c r="U55" s="7">
        <f t="shared" si="10"/>
        <v>0</v>
      </c>
      <c r="V55" s="7">
        <f t="shared" si="11"/>
        <v>0</v>
      </c>
      <c r="W55" s="13" t="b">
        <f t="shared" si="12"/>
        <v>1</v>
      </c>
      <c r="X55" s="13">
        <f t="shared" si="13"/>
        <v>1193.56</v>
      </c>
      <c r="Y55" s="7">
        <f t="shared" si="14"/>
        <v>0.006711409396</v>
      </c>
      <c r="Z55" s="7">
        <f t="shared" si="15"/>
        <v>0.01763907734</v>
      </c>
      <c r="AA55" s="13" t="b">
        <f t="shared" si="16"/>
        <v>0</v>
      </c>
      <c r="AB55" s="13">
        <f t="shared" si="17"/>
        <v>242.75</v>
      </c>
    </row>
    <row r="56">
      <c r="A56" s="1" t="s">
        <v>61</v>
      </c>
      <c r="B56" s="12">
        <v>133.0</v>
      </c>
      <c r="C56" s="12">
        <v>163.0</v>
      </c>
      <c r="D56" s="7">
        <f t="shared" si="1"/>
        <v>0.2255639098</v>
      </c>
      <c r="E56" s="12">
        <v>3600.0</v>
      </c>
      <c r="F56" s="9">
        <v>161.0</v>
      </c>
      <c r="G56" s="9">
        <v>161.0</v>
      </c>
      <c r="H56" s="7">
        <f t="shared" si="2"/>
        <v>0</v>
      </c>
      <c r="I56" s="9">
        <v>3574.68</v>
      </c>
      <c r="J56" s="9">
        <v>161.0</v>
      </c>
      <c r="K56" s="9">
        <v>160.3</v>
      </c>
      <c r="L56" s="9">
        <v>109.46</v>
      </c>
      <c r="M56" s="13">
        <f t="shared" si="3"/>
        <v>161</v>
      </c>
      <c r="N56" s="13">
        <f t="shared" si="4"/>
        <v>161</v>
      </c>
      <c r="O56" s="7">
        <f t="shared" si="5"/>
        <v>0</v>
      </c>
      <c r="Q56" s="7">
        <f t="shared" si="6"/>
        <v>0.2255639098</v>
      </c>
      <c r="R56" s="7">
        <f t="shared" si="7"/>
        <v>0.2105263158</v>
      </c>
      <c r="S56" s="13" t="b">
        <f t="shared" si="8"/>
        <v>0</v>
      </c>
      <c r="T56" s="13">
        <f t="shared" si="9"/>
        <v>3600</v>
      </c>
      <c r="U56" s="7">
        <f t="shared" si="10"/>
        <v>0</v>
      </c>
      <c r="V56" s="7">
        <f t="shared" si="11"/>
        <v>0</v>
      </c>
      <c r="W56" s="13" t="b">
        <f t="shared" si="12"/>
        <v>1</v>
      </c>
      <c r="X56" s="13">
        <f t="shared" si="13"/>
        <v>3574.68</v>
      </c>
      <c r="Y56" s="7">
        <f t="shared" si="14"/>
        <v>0</v>
      </c>
      <c r="Z56" s="7">
        <f t="shared" si="15"/>
        <v>0.004366812227</v>
      </c>
      <c r="AA56" s="13" t="b">
        <f t="shared" si="16"/>
        <v>1</v>
      </c>
      <c r="AB56" s="13">
        <f t="shared" si="17"/>
        <v>109.46</v>
      </c>
    </row>
    <row r="57">
      <c r="A57" s="1" t="s">
        <v>62</v>
      </c>
      <c r="B57" s="12">
        <v>139.0</v>
      </c>
      <c r="C57" s="12">
        <v>160.0</v>
      </c>
      <c r="D57" s="7">
        <f t="shared" si="1"/>
        <v>0.1510791367</v>
      </c>
      <c r="E57" s="12">
        <v>3600.0</v>
      </c>
      <c r="F57" s="9">
        <v>159.0</v>
      </c>
      <c r="G57" s="9">
        <v>159.0</v>
      </c>
      <c r="H57" s="7">
        <f t="shared" si="2"/>
        <v>0</v>
      </c>
      <c r="I57" s="9">
        <v>994.21</v>
      </c>
      <c r="J57" s="9">
        <v>158.0</v>
      </c>
      <c r="K57" s="9">
        <v>157.4</v>
      </c>
      <c r="L57" s="9">
        <v>156.71</v>
      </c>
      <c r="M57" s="13">
        <f t="shared" si="3"/>
        <v>159</v>
      </c>
      <c r="N57" s="13">
        <f t="shared" si="4"/>
        <v>159</v>
      </c>
      <c r="O57" s="7">
        <f t="shared" si="5"/>
        <v>0</v>
      </c>
      <c r="Q57" s="7">
        <f t="shared" si="6"/>
        <v>0.1510791367</v>
      </c>
      <c r="R57" s="7">
        <f t="shared" si="7"/>
        <v>0.1438848921</v>
      </c>
      <c r="S57" s="13" t="b">
        <f t="shared" si="8"/>
        <v>0</v>
      </c>
      <c r="T57" s="13">
        <f t="shared" si="9"/>
        <v>3600</v>
      </c>
      <c r="U57" s="7">
        <f t="shared" si="10"/>
        <v>0</v>
      </c>
      <c r="V57" s="7">
        <f t="shared" si="11"/>
        <v>0</v>
      </c>
      <c r="W57" s="13" t="b">
        <f t="shared" si="12"/>
        <v>1</v>
      </c>
      <c r="X57" s="13">
        <f t="shared" si="13"/>
        <v>994.21</v>
      </c>
      <c r="Y57" s="7">
        <f t="shared" si="14"/>
        <v>0.006329113924</v>
      </c>
      <c r="Z57" s="7">
        <f t="shared" si="15"/>
        <v>0.01016518424</v>
      </c>
      <c r="AA57" s="13" t="b">
        <f t="shared" si="16"/>
        <v>0</v>
      </c>
      <c r="AB57" s="13">
        <f t="shared" si="17"/>
        <v>156.71</v>
      </c>
    </row>
    <row r="58">
      <c r="A58" s="1" t="s">
        <v>63</v>
      </c>
      <c r="B58" s="12">
        <v>148.0</v>
      </c>
      <c r="C58" s="12">
        <v>164.0</v>
      </c>
      <c r="D58" s="7">
        <f t="shared" si="1"/>
        <v>0.1081081081</v>
      </c>
      <c r="E58" s="12">
        <v>3600.0</v>
      </c>
      <c r="F58" s="9">
        <v>162.0</v>
      </c>
      <c r="G58" s="9">
        <v>162.0</v>
      </c>
      <c r="H58" s="7">
        <f t="shared" si="2"/>
        <v>0</v>
      </c>
      <c r="I58" s="9">
        <v>1063.28</v>
      </c>
      <c r="J58" s="9">
        <v>160.0</v>
      </c>
      <c r="K58" s="9">
        <v>159.6</v>
      </c>
      <c r="L58" s="9">
        <v>269.97</v>
      </c>
      <c r="M58" s="13">
        <f t="shared" si="3"/>
        <v>162</v>
      </c>
      <c r="N58" s="13">
        <f t="shared" si="4"/>
        <v>162</v>
      </c>
      <c r="O58" s="7">
        <f t="shared" si="5"/>
        <v>0</v>
      </c>
      <c r="Q58" s="7">
        <f t="shared" si="6"/>
        <v>0.1081081081</v>
      </c>
      <c r="R58" s="7">
        <f t="shared" si="7"/>
        <v>0.09459459459</v>
      </c>
      <c r="S58" s="13" t="b">
        <f t="shared" si="8"/>
        <v>0</v>
      </c>
      <c r="T58" s="13">
        <f t="shared" si="9"/>
        <v>3600</v>
      </c>
      <c r="U58" s="7">
        <f t="shared" si="10"/>
        <v>0</v>
      </c>
      <c r="V58" s="7">
        <f t="shared" si="11"/>
        <v>0</v>
      </c>
      <c r="W58" s="13" t="b">
        <f t="shared" si="12"/>
        <v>1</v>
      </c>
      <c r="X58" s="13">
        <f t="shared" si="13"/>
        <v>1063.28</v>
      </c>
      <c r="Y58" s="7">
        <f t="shared" si="14"/>
        <v>0.0125</v>
      </c>
      <c r="Z58" s="7">
        <f t="shared" si="15"/>
        <v>0.01503759398</v>
      </c>
      <c r="AA58" s="13" t="b">
        <f t="shared" si="16"/>
        <v>0</v>
      </c>
      <c r="AB58" s="13">
        <f t="shared" si="17"/>
        <v>269.97</v>
      </c>
    </row>
    <row r="59">
      <c r="A59" s="1" t="s">
        <v>64</v>
      </c>
      <c r="B59" s="12">
        <v>150.0</v>
      </c>
      <c r="C59" s="12">
        <v>184.0</v>
      </c>
      <c r="D59" s="7">
        <f t="shared" si="1"/>
        <v>0.2266666667</v>
      </c>
      <c r="E59" s="12">
        <v>3600.0</v>
      </c>
      <c r="F59" s="9">
        <v>157.0</v>
      </c>
      <c r="G59" s="9">
        <v>183.0</v>
      </c>
      <c r="H59" s="7">
        <f t="shared" si="2"/>
        <v>0.1656050955</v>
      </c>
      <c r="I59" s="9">
        <v>3600.0</v>
      </c>
      <c r="J59" s="9">
        <v>157.0</v>
      </c>
      <c r="K59" s="9">
        <v>157.0</v>
      </c>
      <c r="L59" s="9">
        <v>48.26</v>
      </c>
      <c r="M59" s="13">
        <f t="shared" si="3"/>
        <v>157</v>
      </c>
      <c r="N59" s="13">
        <f t="shared" si="4"/>
        <v>183</v>
      </c>
      <c r="O59" s="7">
        <f t="shared" si="5"/>
        <v>0.1656050955</v>
      </c>
      <c r="Q59" s="7">
        <f t="shared" si="6"/>
        <v>0.2266666667</v>
      </c>
      <c r="R59" s="7">
        <f t="shared" si="7"/>
        <v>0.04666666667</v>
      </c>
      <c r="S59" s="13" t="b">
        <f t="shared" si="8"/>
        <v>0</v>
      </c>
      <c r="T59" s="13">
        <f t="shared" si="9"/>
        <v>3600</v>
      </c>
      <c r="U59" s="7">
        <f t="shared" si="10"/>
        <v>0.1656050955</v>
      </c>
      <c r="V59" s="7">
        <f t="shared" si="11"/>
        <v>0</v>
      </c>
      <c r="W59" s="13" t="b">
        <f t="shared" si="12"/>
        <v>1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48.26</v>
      </c>
    </row>
    <row r="60">
      <c r="A60" s="1" t="s">
        <v>65</v>
      </c>
      <c r="B60" s="12">
        <v>155.0</v>
      </c>
      <c r="C60" s="12">
        <v>176.0</v>
      </c>
      <c r="D60" s="7">
        <f t="shared" si="1"/>
        <v>0.135483871</v>
      </c>
      <c r="E60" s="12">
        <v>3600.0</v>
      </c>
      <c r="F60" s="9">
        <v>172.0</v>
      </c>
      <c r="G60" s="9">
        <v>172.0</v>
      </c>
      <c r="H60" s="7">
        <f t="shared" si="2"/>
        <v>0</v>
      </c>
      <c r="I60" s="9">
        <v>1898.74</v>
      </c>
      <c r="J60" s="9">
        <v>171.0</v>
      </c>
      <c r="K60" s="9">
        <v>170.7</v>
      </c>
      <c r="L60" s="9">
        <v>305.42</v>
      </c>
      <c r="M60" s="13">
        <f t="shared" si="3"/>
        <v>172</v>
      </c>
      <c r="N60" s="13">
        <f t="shared" si="4"/>
        <v>172</v>
      </c>
      <c r="O60" s="7">
        <f t="shared" si="5"/>
        <v>0</v>
      </c>
      <c r="Q60" s="7">
        <f t="shared" si="6"/>
        <v>0.135483871</v>
      </c>
      <c r="R60" s="7">
        <f t="shared" si="7"/>
        <v>0.1096774194</v>
      </c>
      <c r="S60" s="13" t="b">
        <f t="shared" si="8"/>
        <v>0</v>
      </c>
      <c r="T60" s="13">
        <f t="shared" si="9"/>
        <v>3600</v>
      </c>
      <c r="U60" s="7">
        <f t="shared" si="10"/>
        <v>0</v>
      </c>
      <c r="V60" s="7">
        <f t="shared" si="11"/>
        <v>0</v>
      </c>
      <c r="W60" s="13" t="b">
        <f t="shared" si="12"/>
        <v>1</v>
      </c>
      <c r="X60" s="13">
        <f t="shared" si="13"/>
        <v>1898.74</v>
      </c>
      <c r="Y60" s="7">
        <f t="shared" si="14"/>
        <v>0.005847953216</v>
      </c>
      <c r="Z60" s="7">
        <f t="shared" si="15"/>
        <v>0.007615700059</v>
      </c>
      <c r="AA60" s="13" t="b">
        <f t="shared" si="16"/>
        <v>0</v>
      </c>
      <c r="AB60" s="13">
        <f t="shared" si="17"/>
        <v>305.42</v>
      </c>
    </row>
    <row r="61">
      <c r="A61" s="1" t="s">
        <v>66</v>
      </c>
      <c r="B61" s="12">
        <v>160.0</v>
      </c>
      <c r="C61" s="12">
        <v>198.0</v>
      </c>
      <c r="D61" s="7">
        <f t="shared" si="1"/>
        <v>0.2375</v>
      </c>
      <c r="E61" s="12">
        <v>3600.0</v>
      </c>
      <c r="F61" s="9">
        <v>165.0</v>
      </c>
      <c r="G61" s="9">
        <v>198.0</v>
      </c>
      <c r="H61" s="7">
        <f t="shared" si="2"/>
        <v>0.2</v>
      </c>
      <c r="I61" s="9">
        <v>3600.0</v>
      </c>
      <c r="J61" s="9">
        <v>169.0</v>
      </c>
      <c r="K61" s="9">
        <v>168.9</v>
      </c>
      <c r="L61" s="9">
        <v>110.12</v>
      </c>
      <c r="M61" s="13">
        <f t="shared" si="3"/>
        <v>169</v>
      </c>
      <c r="N61" s="13">
        <f t="shared" si="4"/>
        <v>198</v>
      </c>
      <c r="O61" s="7">
        <f t="shared" si="5"/>
        <v>0.1715976331</v>
      </c>
      <c r="Q61" s="7">
        <f t="shared" si="6"/>
        <v>0.2375</v>
      </c>
      <c r="R61" s="7">
        <f t="shared" si="7"/>
        <v>0.05625</v>
      </c>
      <c r="S61" s="13" t="b">
        <f t="shared" si="8"/>
        <v>0</v>
      </c>
      <c r="T61" s="13">
        <f t="shared" si="9"/>
        <v>3600</v>
      </c>
      <c r="U61" s="7">
        <f t="shared" si="10"/>
        <v>0.2</v>
      </c>
      <c r="V61" s="7">
        <f t="shared" si="11"/>
        <v>0.02424242424</v>
      </c>
      <c r="W61" s="13" t="b">
        <f t="shared" si="12"/>
        <v>0</v>
      </c>
      <c r="X61" s="13">
        <f t="shared" si="13"/>
        <v>3600</v>
      </c>
      <c r="Y61" s="7">
        <f t="shared" si="14"/>
        <v>0</v>
      </c>
      <c r="Z61" s="7">
        <f t="shared" si="15"/>
        <v>0.0005920663114</v>
      </c>
      <c r="AA61" s="13" t="b">
        <f t="shared" si="16"/>
        <v>1</v>
      </c>
      <c r="AB61" s="13">
        <f t="shared" si="17"/>
        <v>110.12</v>
      </c>
    </row>
    <row r="62">
      <c r="A62" s="1" t="s">
        <v>67</v>
      </c>
      <c r="B62" s="12">
        <v>152.0</v>
      </c>
      <c r="C62" s="12">
        <v>184.0</v>
      </c>
      <c r="D62" s="7">
        <f t="shared" si="1"/>
        <v>0.2105263158</v>
      </c>
      <c r="E62" s="12">
        <v>3600.0</v>
      </c>
      <c r="F62" s="9">
        <v>178.0</v>
      </c>
      <c r="G62" s="9">
        <v>179.0</v>
      </c>
      <c r="H62" s="7">
        <f t="shared" si="2"/>
        <v>0.005617977528</v>
      </c>
      <c r="I62" s="9">
        <v>3600.0</v>
      </c>
      <c r="J62" s="9">
        <v>177.0</v>
      </c>
      <c r="K62" s="9">
        <v>175.4</v>
      </c>
      <c r="L62" s="9">
        <v>271.42</v>
      </c>
      <c r="M62" s="13">
        <f t="shared" si="3"/>
        <v>178</v>
      </c>
      <c r="N62" s="13">
        <f t="shared" si="4"/>
        <v>179</v>
      </c>
      <c r="O62" s="7">
        <f t="shared" si="5"/>
        <v>0.005617977528</v>
      </c>
      <c r="Q62" s="7">
        <f t="shared" si="6"/>
        <v>0.2105263158</v>
      </c>
      <c r="R62" s="7">
        <f t="shared" si="7"/>
        <v>0.1710526316</v>
      </c>
      <c r="S62" s="13" t="b">
        <f t="shared" si="8"/>
        <v>0</v>
      </c>
      <c r="T62" s="13">
        <f t="shared" si="9"/>
        <v>3600</v>
      </c>
      <c r="U62" s="7">
        <f t="shared" si="10"/>
        <v>0.005617977528</v>
      </c>
      <c r="V62" s="7">
        <f t="shared" si="11"/>
        <v>0</v>
      </c>
      <c r="W62" s="13" t="b">
        <f t="shared" si="12"/>
        <v>1</v>
      </c>
      <c r="X62" s="13">
        <f t="shared" si="13"/>
        <v>3600</v>
      </c>
      <c r="Y62" s="7">
        <f t="shared" si="14"/>
        <v>0.005649717514</v>
      </c>
      <c r="Z62" s="7">
        <f t="shared" si="15"/>
        <v>0.01482326112</v>
      </c>
      <c r="AA62" s="13" t="b">
        <f t="shared" si="16"/>
        <v>0</v>
      </c>
      <c r="AB62" s="13">
        <f t="shared" si="17"/>
        <v>271.42</v>
      </c>
      <c r="AD62" s="7">
        <f t="shared" ref="AD62:AE62" si="21">AVERAGE(Q33:Q62)</f>
        <v>0.09700929791</v>
      </c>
      <c r="AE62" s="7">
        <f t="shared" si="21"/>
        <v>0.06092718324</v>
      </c>
      <c r="AF62" s="13">
        <f>COUNTIF(S33:S62, "TRUE")</f>
        <v>7</v>
      </c>
      <c r="AG62" s="13">
        <f>COUNTIF(Q33:Q62,"=0")</f>
        <v>4</v>
      </c>
      <c r="AH62" s="13">
        <f t="shared" ref="AH62:AJ62" si="22">AVERAGE(T33:T62)</f>
        <v>3403.587333</v>
      </c>
      <c r="AI62" s="7">
        <f t="shared" si="22"/>
        <v>0.01981444291</v>
      </c>
      <c r="AJ62" s="7">
        <f t="shared" si="22"/>
        <v>0.0008080808081</v>
      </c>
      <c r="AK62" s="13">
        <f>COUNTIF(W33:W62, "TRUE")</f>
        <v>29</v>
      </c>
      <c r="AL62" s="13">
        <f>COUNTIF(U33:U62,"=0")</f>
        <v>25</v>
      </c>
      <c r="AM62" s="13">
        <f t="shared" ref="AM62:AO62" si="23">AVERAGE(X33:X62)</f>
        <v>1229.816667</v>
      </c>
      <c r="AN62" s="7">
        <f t="shared" si="23"/>
        <v>0.00145535702</v>
      </c>
      <c r="AO62" s="7">
        <f t="shared" si="23"/>
        <v>0.004157306308</v>
      </c>
      <c r="AP62" s="13">
        <f>COUNTIF(AA33:AA62, "TRUE")</f>
        <v>24</v>
      </c>
      <c r="AQ62" s="13">
        <f>AVERAGE(AB33:AB62)</f>
        <v>102.893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57.0</v>
      </c>
      <c r="C3" s="12">
        <v>57.0</v>
      </c>
      <c r="D3" s="7">
        <f t="shared" ref="D3:D62" si="1">(C3-B3)/B3</f>
        <v>0</v>
      </c>
      <c r="E3" s="12">
        <v>0.04</v>
      </c>
      <c r="F3" s="9">
        <v>57.0</v>
      </c>
      <c r="G3" s="9">
        <v>57.0</v>
      </c>
      <c r="H3" s="7">
        <f t="shared" ref="H3:H62" si="2">(G3-F3)/F3</f>
        <v>0</v>
      </c>
      <c r="I3" s="9">
        <v>0.02</v>
      </c>
      <c r="J3" s="9">
        <v>57.0</v>
      </c>
      <c r="K3" s="9">
        <v>57.0</v>
      </c>
      <c r="L3" s="9">
        <v>0.1</v>
      </c>
      <c r="M3" s="13">
        <f t="shared" ref="M3:M62" si="3">MAX(B3,F3,J3)</f>
        <v>57</v>
      </c>
      <c r="N3" s="13">
        <f t="shared" ref="N3:N62" si="4">MIN(C3,G3)</f>
        <v>57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0.04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0.02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0.1</v>
      </c>
    </row>
    <row r="4">
      <c r="A4" s="1" t="s">
        <v>9</v>
      </c>
      <c r="B4" s="12">
        <v>53.0</v>
      </c>
      <c r="C4" s="12">
        <v>53.0</v>
      </c>
      <c r="D4" s="7">
        <f t="shared" si="1"/>
        <v>0</v>
      </c>
      <c r="E4" s="12">
        <v>0.1</v>
      </c>
      <c r="F4" s="9">
        <v>53.0</v>
      </c>
      <c r="G4" s="9">
        <v>53.0</v>
      </c>
      <c r="H4" s="7">
        <f t="shared" si="2"/>
        <v>0</v>
      </c>
      <c r="I4" s="9">
        <v>0.03</v>
      </c>
      <c r="J4" s="9">
        <v>53.0</v>
      </c>
      <c r="K4" s="9">
        <v>53.0</v>
      </c>
      <c r="L4" s="9">
        <v>0.08</v>
      </c>
      <c r="M4" s="13">
        <f t="shared" si="3"/>
        <v>53</v>
      </c>
      <c r="N4" s="13">
        <f t="shared" si="4"/>
        <v>53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0.1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0.03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0.08</v>
      </c>
    </row>
    <row r="5">
      <c r="A5" s="1" t="s">
        <v>10</v>
      </c>
      <c r="B5" s="12">
        <v>97.0</v>
      </c>
      <c r="C5" s="12">
        <v>97.0</v>
      </c>
      <c r="D5" s="7">
        <f t="shared" si="1"/>
        <v>0</v>
      </c>
      <c r="E5" s="12">
        <v>0.33</v>
      </c>
      <c r="F5" s="9">
        <v>97.0</v>
      </c>
      <c r="G5" s="9">
        <v>97.0</v>
      </c>
      <c r="H5" s="7">
        <f t="shared" si="2"/>
        <v>0</v>
      </c>
      <c r="I5" s="9">
        <v>0.07</v>
      </c>
      <c r="J5" s="9">
        <v>97.0</v>
      </c>
      <c r="K5" s="9">
        <v>97.0</v>
      </c>
      <c r="L5" s="9">
        <v>12.0</v>
      </c>
      <c r="M5" s="13">
        <f t="shared" si="3"/>
        <v>97</v>
      </c>
      <c r="N5" s="13">
        <f t="shared" si="4"/>
        <v>97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0.33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0.07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12</v>
      </c>
    </row>
    <row r="6">
      <c r="A6" s="1" t="s">
        <v>11</v>
      </c>
      <c r="B6" s="12">
        <v>71.0</v>
      </c>
      <c r="C6" s="12">
        <v>71.0</v>
      </c>
      <c r="D6" s="7">
        <f t="shared" si="1"/>
        <v>0</v>
      </c>
      <c r="E6" s="12">
        <v>0.22</v>
      </c>
      <c r="F6" s="9">
        <v>71.0</v>
      </c>
      <c r="G6" s="9">
        <v>71.0</v>
      </c>
      <c r="H6" s="7">
        <f t="shared" si="2"/>
        <v>0</v>
      </c>
      <c r="I6" s="9">
        <v>0.04</v>
      </c>
      <c r="J6" s="9">
        <v>71.0</v>
      </c>
      <c r="K6" s="9">
        <v>71.0</v>
      </c>
      <c r="L6" s="9">
        <v>0.82</v>
      </c>
      <c r="M6" s="13">
        <f t="shared" si="3"/>
        <v>71</v>
      </c>
      <c r="N6" s="13">
        <f t="shared" si="4"/>
        <v>71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0.22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0.04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0.82</v>
      </c>
    </row>
    <row r="7">
      <c r="A7" s="1" t="s">
        <v>12</v>
      </c>
      <c r="B7" s="12">
        <v>112.0</v>
      </c>
      <c r="C7" s="12">
        <v>112.0</v>
      </c>
      <c r="D7" s="7">
        <f t="shared" si="1"/>
        <v>0</v>
      </c>
      <c r="E7" s="12">
        <v>0.25</v>
      </c>
      <c r="F7" s="9">
        <v>112.0</v>
      </c>
      <c r="G7" s="9">
        <v>112.0</v>
      </c>
      <c r="H7" s="7">
        <f t="shared" si="2"/>
        <v>0</v>
      </c>
      <c r="I7" s="9">
        <v>0.04</v>
      </c>
      <c r="J7" s="9">
        <v>112.0</v>
      </c>
      <c r="K7" s="9">
        <v>112.0</v>
      </c>
      <c r="L7" s="9">
        <v>7.8</v>
      </c>
      <c r="M7" s="13">
        <f t="shared" si="3"/>
        <v>112</v>
      </c>
      <c r="N7" s="13">
        <f t="shared" si="4"/>
        <v>112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0.25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0.04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7.8</v>
      </c>
    </row>
    <row r="8">
      <c r="A8" s="1" t="s">
        <v>13</v>
      </c>
      <c r="B8" s="12">
        <v>113.0</v>
      </c>
      <c r="C8" s="12">
        <v>113.0</v>
      </c>
      <c r="D8" s="7">
        <f t="shared" si="1"/>
        <v>0</v>
      </c>
      <c r="E8" s="12">
        <v>0.4</v>
      </c>
      <c r="F8" s="9">
        <v>113.0</v>
      </c>
      <c r="G8" s="9">
        <v>113.0</v>
      </c>
      <c r="H8" s="7">
        <f t="shared" si="2"/>
        <v>0</v>
      </c>
      <c r="I8" s="9">
        <v>0.14</v>
      </c>
      <c r="J8" s="9">
        <v>113.0</v>
      </c>
      <c r="K8" s="9">
        <v>113.0</v>
      </c>
      <c r="L8" s="9">
        <v>0.58</v>
      </c>
      <c r="M8" s="13">
        <f t="shared" si="3"/>
        <v>113</v>
      </c>
      <c r="N8" s="13">
        <f t="shared" si="4"/>
        <v>113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0.4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0.14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0.58</v>
      </c>
    </row>
    <row r="9">
      <c r="A9" s="1" t="s">
        <v>14</v>
      </c>
      <c r="B9" s="12">
        <v>58.0</v>
      </c>
      <c r="C9" s="12">
        <v>58.0</v>
      </c>
      <c r="D9" s="7">
        <f t="shared" si="1"/>
        <v>0</v>
      </c>
      <c r="E9" s="12">
        <v>0.09</v>
      </c>
      <c r="F9" s="9">
        <v>58.0</v>
      </c>
      <c r="G9" s="9">
        <v>58.0</v>
      </c>
      <c r="H9" s="7">
        <f t="shared" si="2"/>
        <v>0</v>
      </c>
      <c r="I9" s="9">
        <v>0.02</v>
      </c>
      <c r="J9" s="9">
        <v>58.0</v>
      </c>
      <c r="K9" s="9">
        <v>58.0</v>
      </c>
      <c r="L9" s="9">
        <v>0.07</v>
      </c>
      <c r="M9" s="13">
        <f t="shared" si="3"/>
        <v>58</v>
      </c>
      <c r="N9" s="13">
        <f t="shared" si="4"/>
        <v>58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0.09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0.02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0.07</v>
      </c>
    </row>
    <row r="10">
      <c r="A10" s="1" t="s">
        <v>15</v>
      </c>
      <c r="B10" s="12">
        <v>106.0</v>
      </c>
      <c r="C10" s="12">
        <v>106.0</v>
      </c>
      <c r="D10" s="7">
        <f t="shared" si="1"/>
        <v>0</v>
      </c>
      <c r="E10" s="12">
        <v>0.17</v>
      </c>
      <c r="F10" s="9">
        <v>106.0</v>
      </c>
      <c r="G10" s="9">
        <v>106.0</v>
      </c>
      <c r="H10" s="7">
        <f t="shared" si="2"/>
        <v>0</v>
      </c>
      <c r="I10" s="9">
        <v>0.04</v>
      </c>
      <c r="J10" s="9">
        <v>106.0</v>
      </c>
      <c r="K10" s="9">
        <v>106.0</v>
      </c>
      <c r="L10" s="9">
        <v>0.68</v>
      </c>
      <c r="M10" s="13">
        <f t="shared" si="3"/>
        <v>106</v>
      </c>
      <c r="N10" s="13">
        <f t="shared" si="4"/>
        <v>106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0.17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0.04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0.68</v>
      </c>
    </row>
    <row r="11">
      <c r="A11" s="1" t="s">
        <v>16</v>
      </c>
      <c r="B11" s="12">
        <v>156.0</v>
      </c>
      <c r="C11" s="12">
        <v>156.0</v>
      </c>
      <c r="D11" s="7">
        <f t="shared" si="1"/>
        <v>0</v>
      </c>
      <c r="E11" s="12">
        <v>0.53</v>
      </c>
      <c r="F11" s="9">
        <v>156.0</v>
      </c>
      <c r="G11" s="9">
        <v>156.0</v>
      </c>
      <c r="H11" s="7">
        <f t="shared" si="2"/>
        <v>0</v>
      </c>
      <c r="I11" s="9">
        <v>0.13</v>
      </c>
      <c r="J11" s="9">
        <v>156.0</v>
      </c>
      <c r="K11" s="9">
        <v>156.0</v>
      </c>
      <c r="L11" s="9">
        <v>2.92</v>
      </c>
      <c r="M11" s="13">
        <f t="shared" si="3"/>
        <v>156</v>
      </c>
      <c r="N11" s="13">
        <f t="shared" si="4"/>
        <v>156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0.53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0.13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2.92</v>
      </c>
    </row>
    <row r="12">
      <c r="A12" s="1" t="s">
        <v>17</v>
      </c>
      <c r="B12" s="12">
        <v>144.0</v>
      </c>
      <c r="C12" s="12">
        <v>144.0</v>
      </c>
      <c r="D12" s="7">
        <f t="shared" si="1"/>
        <v>0</v>
      </c>
      <c r="E12" s="12">
        <v>0.31</v>
      </c>
      <c r="F12" s="9">
        <v>144.0</v>
      </c>
      <c r="G12" s="9">
        <v>144.0</v>
      </c>
      <c r="H12" s="7">
        <f t="shared" si="2"/>
        <v>0</v>
      </c>
      <c r="I12" s="9">
        <v>0.12</v>
      </c>
      <c r="J12" s="9">
        <v>144.0</v>
      </c>
      <c r="K12" s="9">
        <v>144.0</v>
      </c>
      <c r="L12" s="9">
        <v>7.64</v>
      </c>
      <c r="M12" s="13">
        <f t="shared" si="3"/>
        <v>144</v>
      </c>
      <c r="N12" s="13">
        <f t="shared" si="4"/>
        <v>144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0.31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0.12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7.64</v>
      </c>
    </row>
    <row r="13">
      <c r="A13" s="1" t="s">
        <v>18</v>
      </c>
      <c r="B13" s="12">
        <v>55.0</v>
      </c>
      <c r="C13" s="12">
        <v>55.0</v>
      </c>
      <c r="D13" s="7">
        <f t="shared" si="1"/>
        <v>0</v>
      </c>
      <c r="E13" s="12">
        <v>0.2</v>
      </c>
      <c r="F13" s="9">
        <v>55.0</v>
      </c>
      <c r="G13" s="9">
        <v>55.0</v>
      </c>
      <c r="H13" s="7">
        <f t="shared" si="2"/>
        <v>0</v>
      </c>
      <c r="I13" s="9">
        <v>0.05</v>
      </c>
      <c r="J13" s="9">
        <v>55.0</v>
      </c>
      <c r="K13" s="9">
        <v>55.0</v>
      </c>
      <c r="L13" s="9">
        <v>0.52</v>
      </c>
      <c r="M13" s="13">
        <f t="shared" si="3"/>
        <v>55</v>
      </c>
      <c r="N13" s="13">
        <f t="shared" si="4"/>
        <v>55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0.2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0.05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0.52</v>
      </c>
    </row>
    <row r="14">
      <c r="A14" s="1" t="s">
        <v>19</v>
      </c>
      <c r="B14" s="12">
        <v>112.0</v>
      </c>
      <c r="C14" s="12">
        <v>112.0</v>
      </c>
      <c r="D14" s="7">
        <f t="shared" si="1"/>
        <v>0</v>
      </c>
      <c r="E14" s="12">
        <v>0.35</v>
      </c>
      <c r="F14" s="9">
        <v>112.0</v>
      </c>
      <c r="G14" s="9">
        <v>112.0</v>
      </c>
      <c r="H14" s="7">
        <f t="shared" si="2"/>
        <v>0</v>
      </c>
      <c r="I14" s="9">
        <v>0.1</v>
      </c>
      <c r="J14" s="9">
        <v>112.0</v>
      </c>
      <c r="K14" s="9">
        <v>112.0</v>
      </c>
      <c r="L14" s="9">
        <v>1.42</v>
      </c>
      <c r="M14" s="13">
        <f t="shared" si="3"/>
        <v>112</v>
      </c>
      <c r="N14" s="13">
        <f t="shared" si="4"/>
        <v>112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0.35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0.1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1.42</v>
      </c>
    </row>
    <row r="15">
      <c r="A15" s="1" t="s">
        <v>20</v>
      </c>
      <c r="B15" s="12">
        <v>166.0</v>
      </c>
      <c r="C15" s="12">
        <v>166.0</v>
      </c>
      <c r="D15" s="7">
        <f t="shared" si="1"/>
        <v>0</v>
      </c>
      <c r="E15" s="12">
        <v>0.25</v>
      </c>
      <c r="F15" s="9">
        <v>166.0</v>
      </c>
      <c r="G15" s="9">
        <v>166.0</v>
      </c>
      <c r="H15" s="7">
        <f t="shared" si="2"/>
        <v>0</v>
      </c>
      <c r="I15" s="9">
        <v>0.2</v>
      </c>
      <c r="J15" s="9">
        <v>166.0</v>
      </c>
      <c r="K15" s="9">
        <v>166.0</v>
      </c>
      <c r="L15" s="9">
        <v>2.95</v>
      </c>
      <c r="M15" s="13">
        <f t="shared" si="3"/>
        <v>166</v>
      </c>
      <c r="N15" s="13">
        <f t="shared" si="4"/>
        <v>166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0.25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0.2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2.95</v>
      </c>
    </row>
    <row r="16">
      <c r="A16" s="1" t="s">
        <v>21</v>
      </c>
      <c r="B16" s="12">
        <v>110.0</v>
      </c>
      <c r="C16" s="12">
        <v>110.0</v>
      </c>
      <c r="D16" s="7">
        <f t="shared" si="1"/>
        <v>0</v>
      </c>
      <c r="E16" s="12">
        <v>1.34</v>
      </c>
      <c r="F16" s="9">
        <v>110.0</v>
      </c>
      <c r="G16" s="9">
        <v>110.0</v>
      </c>
      <c r="H16" s="7">
        <f t="shared" si="2"/>
        <v>0</v>
      </c>
      <c r="I16" s="9">
        <v>0.3</v>
      </c>
      <c r="J16" s="9">
        <v>110.0</v>
      </c>
      <c r="K16" s="9">
        <v>110.0</v>
      </c>
      <c r="L16" s="9">
        <v>3.09</v>
      </c>
      <c r="M16" s="13">
        <f t="shared" si="3"/>
        <v>110</v>
      </c>
      <c r="N16" s="13">
        <f t="shared" si="4"/>
        <v>110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1.34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0.3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3.09</v>
      </c>
    </row>
    <row r="17">
      <c r="A17" s="1" t="s">
        <v>22</v>
      </c>
      <c r="B17" s="12">
        <v>153.0</v>
      </c>
      <c r="C17" s="12">
        <v>153.0</v>
      </c>
      <c r="D17" s="7">
        <f t="shared" si="1"/>
        <v>0</v>
      </c>
      <c r="E17" s="12">
        <v>0.6</v>
      </c>
      <c r="F17" s="9">
        <v>153.0</v>
      </c>
      <c r="G17" s="9">
        <v>153.0</v>
      </c>
      <c r="H17" s="7">
        <f t="shared" si="2"/>
        <v>0</v>
      </c>
      <c r="I17" s="9">
        <v>0.18</v>
      </c>
      <c r="J17" s="9">
        <v>153.0</v>
      </c>
      <c r="K17" s="9">
        <v>153.0</v>
      </c>
      <c r="L17" s="9">
        <v>0.37</v>
      </c>
      <c r="M17" s="13">
        <f t="shared" si="3"/>
        <v>153</v>
      </c>
      <c r="N17" s="13">
        <f t="shared" si="4"/>
        <v>153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0.6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0.18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0.37</v>
      </c>
    </row>
    <row r="18">
      <c r="A18" s="1" t="s">
        <v>23</v>
      </c>
      <c r="B18" s="12">
        <v>179.0</v>
      </c>
      <c r="C18" s="12">
        <v>179.0</v>
      </c>
      <c r="D18" s="7">
        <f t="shared" si="1"/>
        <v>0</v>
      </c>
      <c r="E18" s="12">
        <v>1.65</v>
      </c>
      <c r="F18" s="9">
        <v>179.0</v>
      </c>
      <c r="G18" s="9">
        <v>179.0</v>
      </c>
      <c r="H18" s="7">
        <f t="shared" si="2"/>
        <v>0</v>
      </c>
      <c r="I18" s="9">
        <v>0.74</v>
      </c>
      <c r="J18" s="9">
        <v>179.0</v>
      </c>
      <c r="K18" s="9">
        <v>179.0</v>
      </c>
      <c r="L18" s="9">
        <v>0.3</v>
      </c>
      <c r="M18" s="13">
        <f t="shared" si="3"/>
        <v>179</v>
      </c>
      <c r="N18" s="13">
        <f t="shared" si="4"/>
        <v>179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1.65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0.74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0.3</v>
      </c>
    </row>
    <row r="19">
      <c r="A19" s="1" t="s">
        <v>24</v>
      </c>
      <c r="B19" s="12">
        <v>153.0</v>
      </c>
      <c r="C19" s="12">
        <v>153.0</v>
      </c>
      <c r="D19" s="7">
        <f t="shared" si="1"/>
        <v>0</v>
      </c>
      <c r="E19" s="12">
        <v>0.64</v>
      </c>
      <c r="F19" s="9">
        <v>153.0</v>
      </c>
      <c r="G19" s="9">
        <v>153.0</v>
      </c>
      <c r="H19" s="7">
        <f t="shared" si="2"/>
        <v>0</v>
      </c>
      <c r="I19" s="9">
        <v>0.26</v>
      </c>
      <c r="J19" s="9">
        <v>153.0</v>
      </c>
      <c r="K19" s="9">
        <v>153.0</v>
      </c>
      <c r="L19" s="9">
        <v>1.11</v>
      </c>
      <c r="M19" s="13">
        <f t="shared" si="3"/>
        <v>153</v>
      </c>
      <c r="N19" s="13">
        <f t="shared" si="4"/>
        <v>153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0.64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0.26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1.11</v>
      </c>
    </row>
    <row r="20">
      <c r="A20" s="1" t="s">
        <v>25</v>
      </c>
      <c r="B20" s="12">
        <v>183.0</v>
      </c>
      <c r="C20" s="12">
        <v>183.0</v>
      </c>
      <c r="D20" s="7">
        <f t="shared" si="1"/>
        <v>0</v>
      </c>
      <c r="E20" s="12">
        <v>15.61</v>
      </c>
      <c r="F20" s="9">
        <v>183.0</v>
      </c>
      <c r="G20" s="9">
        <v>183.0</v>
      </c>
      <c r="H20" s="7">
        <f t="shared" si="2"/>
        <v>0</v>
      </c>
      <c r="I20" s="9">
        <v>0.24</v>
      </c>
      <c r="J20" s="9">
        <v>183.0</v>
      </c>
      <c r="K20" s="9">
        <v>183.0</v>
      </c>
      <c r="L20" s="9">
        <v>5.33</v>
      </c>
      <c r="M20" s="13">
        <f t="shared" si="3"/>
        <v>183</v>
      </c>
      <c r="N20" s="13">
        <f t="shared" si="4"/>
        <v>183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15.61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0.24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5.33</v>
      </c>
    </row>
    <row r="21">
      <c r="A21" s="1" t="s">
        <v>26</v>
      </c>
      <c r="B21" s="12">
        <v>184.0</v>
      </c>
      <c r="C21" s="12">
        <v>184.0</v>
      </c>
      <c r="D21" s="7">
        <f t="shared" si="1"/>
        <v>0</v>
      </c>
      <c r="E21" s="12">
        <v>1.05</v>
      </c>
      <c r="F21" s="9">
        <v>184.0</v>
      </c>
      <c r="G21" s="9">
        <v>184.0</v>
      </c>
      <c r="H21" s="7">
        <f t="shared" si="2"/>
        <v>0</v>
      </c>
      <c r="I21" s="9">
        <v>0.16</v>
      </c>
      <c r="J21" s="9">
        <v>184.0</v>
      </c>
      <c r="K21" s="9">
        <v>184.0</v>
      </c>
      <c r="L21" s="9">
        <v>3.45</v>
      </c>
      <c r="M21" s="13">
        <f t="shared" si="3"/>
        <v>184</v>
      </c>
      <c r="N21" s="13">
        <f t="shared" si="4"/>
        <v>184</v>
      </c>
      <c r="O21" s="7">
        <f t="shared" si="5"/>
        <v>0</v>
      </c>
      <c r="Q21" s="7">
        <f t="shared" si="6"/>
        <v>0</v>
      </c>
      <c r="R21" s="7">
        <f t="shared" si="7"/>
        <v>0</v>
      </c>
      <c r="S21" s="13" t="b">
        <f t="shared" si="8"/>
        <v>1</v>
      </c>
      <c r="T21" s="13">
        <f t="shared" si="9"/>
        <v>1.05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0.16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3.45</v>
      </c>
    </row>
    <row r="22">
      <c r="A22" s="1" t="s">
        <v>27</v>
      </c>
      <c r="B22" s="12">
        <v>135.0</v>
      </c>
      <c r="C22" s="12">
        <v>135.0</v>
      </c>
      <c r="D22" s="7">
        <f t="shared" si="1"/>
        <v>0</v>
      </c>
      <c r="E22" s="12">
        <v>2.91</v>
      </c>
      <c r="F22" s="9">
        <v>135.0</v>
      </c>
      <c r="G22" s="9">
        <v>135.0</v>
      </c>
      <c r="H22" s="7">
        <f t="shared" si="2"/>
        <v>0</v>
      </c>
      <c r="I22" s="9">
        <v>0.35</v>
      </c>
      <c r="J22" s="9">
        <v>135.0</v>
      </c>
      <c r="K22" s="9">
        <v>135.0</v>
      </c>
      <c r="L22" s="9">
        <v>0.63</v>
      </c>
      <c r="M22" s="13">
        <f t="shared" si="3"/>
        <v>135</v>
      </c>
      <c r="N22" s="13">
        <f t="shared" si="4"/>
        <v>135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2.91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0.35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0.63</v>
      </c>
    </row>
    <row r="23">
      <c r="A23" s="1" t="s">
        <v>28</v>
      </c>
      <c r="B23" s="12">
        <v>167.0</v>
      </c>
      <c r="C23" s="12">
        <v>167.0</v>
      </c>
      <c r="D23" s="7">
        <f t="shared" si="1"/>
        <v>0</v>
      </c>
      <c r="E23" s="12">
        <v>10.86</v>
      </c>
      <c r="F23" s="9">
        <v>167.0</v>
      </c>
      <c r="G23" s="9">
        <v>167.0</v>
      </c>
      <c r="H23" s="7">
        <f t="shared" si="2"/>
        <v>0</v>
      </c>
      <c r="I23" s="9">
        <v>1.25</v>
      </c>
      <c r="J23" s="9">
        <v>167.0</v>
      </c>
      <c r="K23" s="9">
        <v>167.0</v>
      </c>
      <c r="L23" s="9">
        <v>3.05</v>
      </c>
      <c r="M23" s="13">
        <f t="shared" si="3"/>
        <v>167</v>
      </c>
      <c r="N23" s="13">
        <f t="shared" si="4"/>
        <v>167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10.86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1.25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3.05</v>
      </c>
    </row>
    <row r="24">
      <c r="A24" s="1" t="s">
        <v>29</v>
      </c>
      <c r="B24" s="12">
        <v>180.0</v>
      </c>
      <c r="C24" s="12">
        <v>180.0</v>
      </c>
      <c r="D24" s="7">
        <f t="shared" si="1"/>
        <v>0</v>
      </c>
      <c r="E24" s="12">
        <v>7.35</v>
      </c>
      <c r="F24" s="9">
        <v>180.0</v>
      </c>
      <c r="G24" s="9">
        <v>180.0</v>
      </c>
      <c r="H24" s="7">
        <f t="shared" si="2"/>
        <v>0</v>
      </c>
      <c r="I24" s="9">
        <v>0.74</v>
      </c>
      <c r="J24" s="9">
        <v>180.0</v>
      </c>
      <c r="K24" s="9">
        <v>180.0</v>
      </c>
      <c r="L24" s="9">
        <v>0.22</v>
      </c>
      <c r="M24" s="13">
        <f t="shared" si="3"/>
        <v>180</v>
      </c>
      <c r="N24" s="13">
        <f t="shared" si="4"/>
        <v>180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7.35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0.74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0.22</v>
      </c>
    </row>
    <row r="25">
      <c r="A25" s="1" t="s">
        <v>30</v>
      </c>
      <c r="B25" s="12">
        <v>100.0</v>
      </c>
      <c r="C25" s="12">
        <v>100.0</v>
      </c>
      <c r="D25" s="7">
        <f t="shared" si="1"/>
        <v>0</v>
      </c>
      <c r="E25" s="12">
        <v>0.52</v>
      </c>
      <c r="F25" s="9">
        <v>100.0</v>
      </c>
      <c r="G25" s="9">
        <v>100.0</v>
      </c>
      <c r="H25" s="7">
        <f t="shared" si="2"/>
        <v>0</v>
      </c>
      <c r="I25" s="9">
        <v>0.05</v>
      </c>
      <c r="J25" s="9">
        <v>100.0</v>
      </c>
      <c r="K25" s="9">
        <v>100.0</v>
      </c>
      <c r="L25" s="9">
        <v>0.1</v>
      </c>
      <c r="M25" s="13">
        <f t="shared" si="3"/>
        <v>100</v>
      </c>
      <c r="N25" s="13">
        <f t="shared" si="4"/>
        <v>100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0.52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0.05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0.1</v>
      </c>
    </row>
    <row r="26">
      <c r="A26" s="1" t="s">
        <v>31</v>
      </c>
      <c r="B26" s="12">
        <v>205.0</v>
      </c>
      <c r="C26" s="12">
        <v>205.0</v>
      </c>
      <c r="D26" s="7">
        <f t="shared" si="1"/>
        <v>0</v>
      </c>
      <c r="E26" s="12">
        <v>2.48</v>
      </c>
      <c r="F26" s="9">
        <v>205.0</v>
      </c>
      <c r="G26" s="9">
        <v>205.0</v>
      </c>
      <c r="H26" s="7">
        <f t="shared" si="2"/>
        <v>0</v>
      </c>
      <c r="I26" s="9">
        <v>1.1</v>
      </c>
      <c r="J26" s="9">
        <v>205.0</v>
      </c>
      <c r="K26" s="9">
        <v>205.0</v>
      </c>
      <c r="L26" s="9">
        <v>10.74</v>
      </c>
      <c r="M26" s="13">
        <f t="shared" si="3"/>
        <v>205</v>
      </c>
      <c r="N26" s="13">
        <f t="shared" si="4"/>
        <v>205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2.48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1.1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10.74</v>
      </c>
    </row>
    <row r="27">
      <c r="A27" s="1" t="s">
        <v>32</v>
      </c>
      <c r="B27" s="12">
        <v>323.0</v>
      </c>
      <c r="C27" s="12">
        <v>323.0</v>
      </c>
      <c r="D27" s="7">
        <f t="shared" si="1"/>
        <v>0</v>
      </c>
      <c r="E27" s="12">
        <v>3.35</v>
      </c>
      <c r="F27" s="9">
        <v>323.0</v>
      </c>
      <c r="G27" s="9">
        <v>323.0</v>
      </c>
      <c r="H27" s="7">
        <f t="shared" si="2"/>
        <v>0</v>
      </c>
      <c r="I27" s="9">
        <v>1.28</v>
      </c>
      <c r="J27" s="9">
        <v>323.0</v>
      </c>
      <c r="K27" s="9">
        <v>323.0</v>
      </c>
      <c r="L27" s="9">
        <v>15.47</v>
      </c>
      <c r="M27" s="13">
        <f t="shared" si="3"/>
        <v>323</v>
      </c>
      <c r="N27" s="13">
        <f t="shared" si="4"/>
        <v>323</v>
      </c>
      <c r="O27" s="7">
        <f t="shared" si="5"/>
        <v>0</v>
      </c>
      <c r="Q27" s="7">
        <f t="shared" si="6"/>
        <v>0</v>
      </c>
      <c r="R27" s="7">
        <f t="shared" si="7"/>
        <v>0</v>
      </c>
      <c r="S27" s="13" t="b">
        <f t="shared" si="8"/>
        <v>1</v>
      </c>
      <c r="T27" s="13">
        <f t="shared" si="9"/>
        <v>3.35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1.28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15.47</v>
      </c>
    </row>
    <row r="28">
      <c r="A28" s="1" t="s">
        <v>33</v>
      </c>
      <c r="B28" s="12">
        <v>314.0</v>
      </c>
      <c r="C28" s="12">
        <v>314.0</v>
      </c>
      <c r="D28" s="7">
        <f t="shared" si="1"/>
        <v>0</v>
      </c>
      <c r="E28" s="12">
        <v>1.66</v>
      </c>
      <c r="F28" s="9">
        <v>314.0</v>
      </c>
      <c r="G28" s="9">
        <v>314.0</v>
      </c>
      <c r="H28" s="7">
        <f t="shared" si="2"/>
        <v>0</v>
      </c>
      <c r="I28" s="9">
        <v>0.32</v>
      </c>
      <c r="J28" s="9">
        <v>314.0</v>
      </c>
      <c r="K28" s="9">
        <v>314.0</v>
      </c>
      <c r="L28" s="9">
        <v>0.71</v>
      </c>
      <c r="M28" s="13">
        <f t="shared" si="3"/>
        <v>314</v>
      </c>
      <c r="N28" s="13">
        <f t="shared" si="4"/>
        <v>314</v>
      </c>
      <c r="O28" s="7">
        <f t="shared" si="5"/>
        <v>0</v>
      </c>
      <c r="Q28" s="7">
        <f t="shared" si="6"/>
        <v>0</v>
      </c>
      <c r="R28" s="7">
        <f t="shared" si="7"/>
        <v>0</v>
      </c>
      <c r="S28" s="13" t="b">
        <f t="shared" si="8"/>
        <v>1</v>
      </c>
      <c r="T28" s="13">
        <f t="shared" si="9"/>
        <v>1.66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0.32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0.71</v>
      </c>
    </row>
    <row r="29">
      <c r="A29" s="1" t="s">
        <v>34</v>
      </c>
      <c r="B29" s="12">
        <v>165.0</v>
      </c>
      <c r="C29" s="12">
        <v>165.0</v>
      </c>
      <c r="D29" s="7">
        <f t="shared" si="1"/>
        <v>0</v>
      </c>
      <c r="E29" s="12">
        <v>33.28</v>
      </c>
      <c r="F29" s="9">
        <v>165.0</v>
      </c>
      <c r="G29" s="9">
        <v>165.0</v>
      </c>
      <c r="H29" s="7">
        <f t="shared" si="2"/>
        <v>0</v>
      </c>
      <c r="I29" s="9">
        <v>2.54</v>
      </c>
      <c r="J29" s="9">
        <v>165.0</v>
      </c>
      <c r="K29" s="9">
        <v>165.0</v>
      </c>
      <c r="L29" s="9">
        <v>0.26</v>
      </c>
      <c r="M29" s="13">
        <f t="shared" si="3"/>
        <v>165</v>
      </c>
      <c r="N29" s="13">
        <f t="shared" si="4"/>
        <v>165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33.28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2.54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0.26</v>
      </c>
    </row>
    <row r="30">
      <c r="A30" s="1" t="s">
        <v>35</v>
      </c>
      <c r="B30" s="12">
        <v>232.0</v>
      </c>
      <c r="C30" s="12">
        <v>232.0</v>
      </c>
      <c r="D30" s="7">
        <f t="shared" si="1"/>
        <v>0</v>
      </c>
      <c r="E30" s="12">
        <v>3.04</v>
      </c>
      <c r="F30" s="9">
        <v>232.0</v>
      </c>
      <c r="G30" s="9">
        <v>232.0</v>
      </c>
      <c r="H30" s="7">
        <f t="shared" si="2"/>
        <v>0</v>
      </c>
      <c r="I30" s="9">
        <v>1.28</v>
      </c>
      <c r="J30" s="9">
        <v>232.0</v>
      </c>
      <c r="K30" s="9">
        <v>232.0</v>
      </c>
      <c r="L30" s="9">
        <v>2.02</v>
      </c>
      <c r="M30" s="13">
        <f t="shared" si="3"/>
        <v>232</v>
      </c>
      <c r="N30" s="13">
        <f t="shared" si="4"/>
        <v>232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3.04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1.28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2.02</v>
      </c>
    </row>
    <row r="31">
      <c r="A31" s="1" t="s">
        <v>36</v>
      </c>
      <c r="B31" s="12">
        <v>70.0</v>
      </c>
      <c r="C31" s="12">
        <v>70.0</v>
      </c>
      <c r="D31" s="7">
        <f t="shared" si="1"/>
        <v>0</v>
      </c>
      <c r="E31" s="12">
        <v>1.02</v>
      </c>
      <c r="F31" s="9">
        <v>70.0</v>
      </c>
      <c r="G31" s="9">
        <v>70.0</v>
      </c>
      <c r="H31" s="7">
        <f t="shared" si="2"/>
        <v>0</v>
      </c>
      <c r="I31" s="9">
        <v>0.11</v>
      </c>
      <c r="J31" s="9">
        <v>70.0</v>
      </c>
      <c r="K31" s="9">
        <v>70.0</v>
      </c>
      <c r="L31" s="9">
        <v>0.43</v>
      </c>
      <c r="M31" s="13">
        <f t="shared" si="3"/>
        <v>70</v>
      </c>
      <c r="N31" s="13">
        <f t="shared" si="4"/>
        <v>70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1.02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0.11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0.43</v>
      </c>
    </row>
    <row r="32">
      <c r="A32" s="1" t="s">
        <v>37</v>
      </c>
      <c r="B32" s="12">
        <v>333.0</v>
      </c>
      <c r="C32" s="12">
        <v>333.0</v>
      </c>
      <c r="D32" s="7">
        <f t="shared" si="1"/>
        <v>0</v>
      </c>
      <c r="E32" s="12">
        <v>1.71</v>
      </c>
      <c r="F32" s="9">
        <v>333.0</v>
      </c>
      <c r="G32" s="9">
        <v>333.0</v>
      </c>
      <c r="H32" s="7">
        <f t="shared" si="2"/>
        <v>0</v>
      </c>
      <c r="I32" s="9">
        <v>1.06</v>
      </c>
      <c r="J32" s="9">
        <v>333.0</v>
      </c>
      <c r="K32" s="9">
        <v>333.0</v>
      </c>
      <c r="L32" s="9">
        <v>0.95</v>
      </c>
      <c r="M32" s="13">
        <f t="shared" si="3"/>
        <v>333</v>
      </c>
      <c r="N32" s="13">
        <f t="shared" si="4"/>
        <v>333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1.71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1.06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0.95</v>
      </c>
      <c r="AD32" s="7">
        <f t="shared" ref="AD32:AE32" si="18">AVERAGE(Q3:Q32)</f>
        <v>0</v>
      </c>
      <c r="AE32" s="7">
        <f t="shared" si="18"/>
        <v>0</v>
      </c>
      <c r="AF32" s="13">
        <f>COUNTIF(S3:S32, "TRUE")</f>
        <v>30</v>
      </c>
      <c r="AG32" s="13">
        <f>COUNTIF(Q3:Q32,"=0")</f>
        <v>30</v>
      </c>
      <c r="AH32" s="13">
        <f t="shared" ref="AH32:AJ32" si="19">AVERAGE(T3:T32)</f>
        <v>3.077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0.432</v>
      </c>
      <c r="AN32" s="7">
        <f t="shared" si="20"/>
        <v>0</v>
      </c>
      <c r="AO32" s="7">
        <f t="shared" si="20"/>
        <v>0</v>
      </c>
      <c r="AP32" s="13">
        <f>COUNTIF(AA3:AA32, "TRUE")</f>
        <v>30</v>
      </c>
      <c r="AQ32" s="13">
        <f>AVERAGE(AB3:AB32)</f>
        <v>2.860333333</v>
      </c>
    </row>
    <row r="33">
      <c r="A33" s="1" t="s">
        <v>38</v>
      </c>
      <c r="B33" s="12">
        <v>739.0</v>
      </c>
      <c r="C33" s="12">
        <v>759.0</v>
      </c>
      <c r="D33" s="7">
        <f t="shared" si="1"/>
        <v>0.02706359946</v>
      </c>
      <c r="E33" s="12">
        <v>3600.0</v>
      </c>
      <c r="F33" s="9">
        <v>739.0</v>
      </c>
      <c r="G33" s="9">
        <v>739.0</v>
      </c>
      <c r="H33" s="7">
        <f t="shared" si="2"/>
        <v>0</v>
      </c>
      <c r="I33" s="9">
        <v>2943.61</v>
      </c>
      <c r="J33" s="9">
        <v>739.0</v>
      </c>
      <c r="K33" s="9">
        <v>739.0</v>
      </c>
      <c r="L33" s="9">
        <v>43.64</v>
      </c>
      <c r="M33" s="13">
        <f t="shared" si="3"/>
        <v>739</v>
      </c>
      <c r="N33" s="13">
        <f t="shared" si="4"/>
        <v>739</v>
      </c>
      <c r="O33" s="7">
        <f t="shared" si="5"/>
        <v>0</v>
      </c>
      <c r="Q33" s="7">
        <f t="shared" si="6"/>
        <v>0.02706359946</v>
      </c>
      <c r="R33" s="7">
        <f t="shared" si="7"/>
        <v>0</v>
      </c>
      <c r="S33" s="13" t="b">
        <f t="shared" si="8"/>
        <v>1</v>
      </c>
      <c r="T33" s="13">
        <f t="shared" si="9"/>
        <v>3600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2943.61</v>
      </c>
      <c r="Y33" s="7">
        <f t="shared" si="14"/>
        <v>0</v>
      </c>
      <c r="Z33" s="7">
        <f t="shared" si="15"/>
        <v>0</v>
      </c>
      <c r="AA33" s="13" t="b">
        <f t="shared" si="16"/>
        <v>1</v>
      </c>
      <c r="AB33" s="13">
        <f t="shared" si="17"/>
        <v>43.64</v>
      </c>
    </row>
    <row r="34">
      <c r="A34" s="1" t="s">
        <v>39</v>
      </c>
      <c r="B34" s="12">
        <v>880.0</v>
      </c>
      <c r="C34" s="12">
        <v>880.0</v>
      </c>
      <c r="D34" s="7">
        <f t="shared" si="1"/>
        <v>0</v>
      </c>
      <c r="E34" s="12">
        <v>379.87</v>
      </c>
      <c r="F34" s="9">
        <v>880.0</v>
      </c>
      <c r="G34" s="9">
        <v>880.0</v>
      </c>
      <c r="H34" s="7">
        <f t="shared" si="2"/>
        <v>0</v>
      </c>
      <c r="I34" s="9">
        <v>22.29</v>
      </c>
      <c r="J34" s="9">
        <v>880.0</v>
      </c>
      <c r="K34" s="9">
        <v>880.0</v>
      </c>
      <c r="L34" s="9">
        <v>48.15</v>
      </c>
      <c r="M34" s="13">
        <f t="shared" si="3"/>
        <v>880</v>
      </c>
      <c r="N34" s="13">
        <f t="shared" si="4"/>
        <v>880</v>
      </c>
      <c r="O34" s="7">
        <f t="shared" si="5"/>
        <v>0</v>
      </c>
      <c r="Q34" s="7">
        <f t="shared" si="6"/>
        <v>0</v>
      </c>
      <c r="R34" s="7">
        <f t="shared" si="7"/>
        <v>0</v>
      </c>
      <c r="S34" s="13" t="b">
        <f t="shared" si="8"/>
        <v>1</v>
      </c>
      <c r="T34" s="13">
        <f t="shared" si="9"/>
        <v>379.87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22.29</v>
      </c>
      <c r="Y34" s="7">
        <f t="shared" si="14"/>
        <v>0</v>
      </c>
      <c r="Z34" s="7">
        <f t="shared" si="15"/>
        <v>0</v>
      </c>
      <c r="AA34" s="13" t="b">
        <f t="shared" si="16"/>
        <v>1</v>
      </c>
      <c r="AB34" s="13">
        <f t="shared" si="17"/>
        <v>48.15</v>
      </c>
    </row>
    <row r="35">
      <c r="A35" s="1" t="s">
        <v>40</v>
      </c>
      <c r="B35" s="12">
        <v>789.0</v>
      </c>
      <c r="C35" s="12">
        <v>947.0</v>
      </c>
      <c r="D35" s="7">
        <f t="shared" si="1"/>
        <v>0.2002534854</v>
      </c>
      <c r="E35" s="12">
        <v>3600.0</v>
      </c>
      <c r="F35" s="9">
        <v>789.0</v>
      </c>
      <c r="G35" s="9">
        <v>789.0</v>
      </c>
      <c r="H35" s="7">
        <f t="shared" si="2"/>
        <v>0</v>
      </c>
      <c r="I35" s="9">
        <v>1666.11</v>
      </c>
      <c r="J35" s="9">
        <v>789.0</v>
      </c>
      <c r="K35" s="9">
        <v>789.0</v>
      </c>
      <c r="L35" s="9">
        <v>7.29</v>
      </c>
      <c r="M35" s="13">
        <f t="shared" si="3"/>
        <v>789</v>
      </c>
      <c r="N35" s="13">
        <f t="shared" si="4"/>
        <v>789</v>
      </c>
      <c r="O35" s="7">
        <f t="shared" si="5"/>
        <v>0</v>
      </c>
      <c r="Q35" s="7">
        <f t="shared" si="6"/>
        <v>0.2002534854</v>
      </c>
      <c r="R35" s="7">
        <f t="shared" si="7"/>
        <v>0</v>
      </c>
      <c r="S35" s="13" t="b">
        <f t="shared" si="8"/>
        <v>1</v>
      </c>
      <c r="T35" s="13">
        <f t="shared" si="9"/>
        <v>3600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1666.11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7.29</v>
      </c>
    </row>
    <row r="36">
      <c r="A36" s="1" t="s">
        <v>41</v>
      </c>
      <c r="B36" s="12">
        <v>1832.0</v>
      </c>
      <c r="C36" s="12">
        <v>1834.0</v>
      </c>
      <c r="D36" s="7">
        <f t="shared" si="1"/>
        <v>0.001091703057</v>
      </c>
      <c r="E36" s="12">
        <v>3600.0</v>
      </c>
      <c r="F36" s="9">
        <v>1832.0</v>
      </c>
      <c r="G36" s="9">
        <v>1832.0</v>
      </c>
      <c r="H36" s="7">
        <f t="shared" si="2"/>
        <v>0</v>
      </c>
      <c r="I36" s="9">
        <v>324.74</v>
      </c>
      <c r="J36" s="9">
        <v>1832.0</v>
      </c>
      <c r="K36" s="9">
        <v>1832.0</v>
      </c>
      <c r="L36" s="9">
        <v>45.38</v>
      </c>
      <c r="M36" s="13">
        <f t="shared" si="3"/>
        <v>1832</v>
      </c>
      <c r="N36" s="13">
        <f t="shared" si="4"/>
        <v>1832</v>
      </c>
      <c r="O36" s="7">
        <f t="shared" si="5"/>
        <v>0</v>
      </c>
      <c r="Q36" s="7">
        <f t="shared" si="6"/>
        <v>0.001091703057</v>
      </c>
      <c r="R36" s="7">
        <f t="shared" si="7"/>
        <v>0</v>
      </c>
      <c r="S36" s="13" t="b">
        <f t="shared" si="8"/>
        <v>1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324.74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45.38</v>
      </c>
    </row>
    <row r="37">
      <c r="A37" s="1" t="s">
        <v>42</v>
      </c>
      <c r="B37" s="12">
        <v>1314.0</v>
      </c>
      <c r="C37" s="12">
        <v>1490.0</v>
      </c>
      <c r="D37" s="7">
        <f t="shared" si="1"/>
        <v>0.1339421613</v>
      </c>
      <c r="E37" s="12">
        <v>3600.0</v>
      </c>
      <c r="F37" s="9">
        <v>1314.0</v>
      </c>
      <c r="G37" s="9">
        <v>1351.0</v>
      </c>
      <c r="H37" s="7">
        <f t="shared" si="2"/>
        <v>0.02815829528</v>
      </c>
      <c r="I37" s="9">
        <v>3600.0</v>
      </c>
      <c r="J37" s="9">
        <v>1314.0</v>
      </c>
      <c r="K37" s="9">
        <v>1314.0</v>
      </c>
      <c r="L37" s="9">
        <v>56.06</v>
      </c>
      <c r="M37" s="13">
        <f t="shared" si="3"/>
        <v>1314</v>
      </c>
      <c r="N37" s="13">
        <f t="shared" si="4"/>
        <v>1351</v>
      </c>
      <c r="O37" s="7">
        <f t="shared" si="5"/>
        <v>0.02815829528</v>
      </c>
      <c r="Q37" s="7">
        <f t="shared" si="6"/>
        <v>0.1339421613</v>
      </c>
      <c r="R37" s="7">
        <f t="shared" si="7"/>
        <v>0</v>
      </c>
      <c r="S37" s="13" t="b">
        <f t="shared" si="8"/>
        <v>1</v>
      </c>
      <c r="T37" s="13">
        <f t="shared" si="9"/>
        <v>3600</v>
      </c>
      <c r="U37" s="7">
        <f t="shared" si="10"/>
        <v>0.02815829528</v>
      </c>
      <c r="V37" s="7">
        <f t="shared" si="11"/>
        <v>0</v>
      </c>
      <c r="W37" s="13" t="b">
        <f t="shared" si="12"/>
        <v>1</v>
      </c>
      <c r="X37" s="13">
        <f t="shared" si="13"/>
        <v>3600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56.06</v>
      </c>
    </row>
    <row r="38">
      <c r="A38" s="1" t="s">
        <v>43</v>
      </c>
      <c r="B38" s="12">
        <v>1388.0</v>
      </c>
      <c r="C38" s="12">
        <v>1468.0</v>
      </c>
      <c r="D38" s="7">
        <f t="shared" si="1"/>
        <v>0.05763688761</v>
      </c>
      <c r="E38" s="12">
        <v>3600.0</v>
      </c>
      <c r="F38" s="9">
        <v>1388.0</v>
      </c>
      <c r="G38" s="9">
        <v>1388.0</v>
      </c>
      <c r="H38" s="7">
        <f t="shared" si="2"/>
        <v>0</v>
      </c>
      <c r="I38" s="9">
        <v>49.0</v>
      </c>
      <c r="J38" s="9">
        <v>1388.0</v>
      </c>
      <c r="K38" s="9">
        <v>1388.0</v>
      </c>
      <c r="L38" s="9">
        <v>9.89</v>
      </c>
      <c r="M38" s="13">
        <f t="shared" si="3"/>
        <v>1388</v>
      </c>
      <c r="N38" s="13">
        <f t="shared" si="4"/>
        <v>1388</v>
      </c>
      <c r="O38" s="7">
        <f t="shared" si="5"/>
        <v>0</v>
      </c>
      <c r="Q38" s="7">
        <f t="shared" si="6"/>
        <v>0.05763688761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</v>
      </c>
      <c r="V38" s="7">
        <f t="shared" si="11"/>
        <v>0</v>
      </c>
      <c r="W38" s="13" t="b">
        <f t="shared" si="12"/>
        <v>1</v>
      </c>
      <c r="X38" s="13">
        <f t="shared" si="13"/>
        <v>49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9.89</v>
      </c>
    </row>
    <row r="39">
      <c r="A39" s="1" t="s">
        <v>44</v>
      </c>
      <c r="B39" s="12">
        <v>1756.0</v>
      </c>
      <c r="C39" s="12">
        <v>1913.0</v>
      </c>
      <c r="D39" s="7">
        <f t="shared" si="1"/>
        <v>0.08940774487</v>
      </c>
      <c r="E39" s="12">
        <v>3600.0</v>
      </c>
      <c r="F39" s="9">
        <v>1756.0</v>
      </c>
      <c r="G39" s="9">
        <v>1771.0</v>
      </c>
      <c r="H39" s="7">
        <f t="shared" si="2"/>
        <v>0.00854214123</v>
      </c>
      <c r="I39" s="9">
        <v>3600.0</v>
      </c>
      <c r="J39" s="9">
        <v>1756.0</v>
      </c>
      <c r="K39" s="9">
        <v>1756.0</v>
      </c>
      <c r="L39" s="9">
        <v>102.03</v>
      </c>
      <c r="M39" s="13">
        <f t="shared" si="3"/>
        <v>1756</v>
      </c>
      <c r="N39" s="13">
        <f t="shared" si="4"/>
        <v>1771</v>
      </c>
      <c r="O39" s="7">
        <f t="shared" si="5"/>
        <v>0.00854214123</v>
      </c>
      <c r="Q39" s="7">
        <f t="shared" si="6"/>
        <v>0.08940774487</v>
      </c>
      <c r="R39" s="7">
        <f t="shared" si="7"/>
        <v>0</v>
      </c>
      <c r="S39" s="13" t="b">
        <f t="shared" si="8"/>
        <v>1</v>
      </c>
      <c r="T39" s="13">
        <f t="shared" si="9"/>
        <v>3600</v>
      </c>
      <c r="U39" s="7">
        <f t="shared" si="10"/>
        <v>0.00854214123</v>
      </c>
      <c r="V39" s="7">
        <f t="shared" si="11"/>
        <v>0</v>
      </c>
      <c r="W39" s="13" t="b">
        <f t="shared" si="12"/>
        <v>1</v>
      </c>
      <c r="X39" s="13">
        <f t="shared" si="13"/>
        <v>3600</v>
      </c>
      <c r="Y39" s="7">
        <f t="shared" si="14"/>
        <v>0</v>
      </c>
      <c r="Z39" s="7">
        <f t="shared" si="15"/>
        <v>0</v>
      </c>
      <c r="AA39" s="13" t="b">
        <f t="shared" si="16"/>
        <v>1</v>
      </c>
      <c r="AB39" s="13">
        <f t="shared" si="17"/>
        <v>102.03</v>
      </c>
    </row>
    <row r="40">
      <c r="A40" s="1" t="s">
        <v>45</v>
      </c>
      <c r="B40" s="12">
        <v>3096.0</v>
      </c>
      <c r="C40" s="12">
        <v>3096.0</v>
      </c>
      <c r="D40" s="7">
        <f t="shared" si="1"/>
        <v>0</v>
      </c>
      <c r="E40" s="12">
        <v>60.42</v>
      </c>
      <c r="F40" s="9">
        <v>3096.0</v>
      </c>
      <c r="G40" s="9">
        <v>3096.0</v>
      </c>
      <c r="H40" s="7">
        <f t="shared" si="2"/>
        <v>0</v>
      </c>
      <c r="I40" s="9">
        <v>7.68</v>
      </c>
      <c r="J40" s="9">
        <v>3096.0</v>
      </c>
      <c r="K40" s="9">
        <v>3096.0</v>
      </c>
      <c r="L40" s="9">
        <v>10.09</v>
      </c>
      <c r="M40" s="13">
        <f t="shared" si="3"/>
        <v>3096</v>
      </c>
      <c r="N40" s="13">
        <f t="shared" si="4"/>
        <v>3096</v>
      </c>
      <c r="O40" s="7">
        <f t="shared" si="5"/>
        <v>0</v>
      </c>
      <c r="Q40" s="7">
        <f t="shared" si="6"/>
        <v>0</v>
      </c>
      <c r="R40" s="7">
        <f t="shared" si="7"/>
        <v>0</v>
      </c>
      <c r="S40" s="13" t="b">
        <f t="shared" si="8"/>
        <v>1</v>
      </c>
      <c r="T40" s="13">
        <f t="shared" si="9"/>
        <v>60.42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7.68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10.09</v>
      </c>
    </row>
    <row r="41">
      <c r="A41" s="1" t="s">
        <v>46</v>
      </c>
      <c r="B41" s="12">
        <v>1559.0</v>
      </c>
      <c r="C41" s="12">
        <v>1599.0</v>
      </c>
      <c r="D41" s="7">
        <f t="shared" si="1"/>
        <v>0.02565747274</v>
      </c>
      <c r="E41" s="12">
        <v>3600.0</v>
      </c>
      <c r="F41" s="9">
        <v>1559.0</v>
      </c>
      <c r="G41" s="9">
        <v>1559.0</v>
      </c>
      <c r="H41" s="7">
        <f t="shared" si="2"/>
        <v>0</v>
      </c>
      <c r="I41" s="9">
        <v>142.12</v>
      </c>
      <c r="J41" s="9">
        <v>1559.0</v>
      </c>
      <c r="K41" s="9">
        <v>1559.0</v>
      </c>
      <c r="L41" s="9">
        <v>4.87</v>
      </c>
      <c r="M41" s="13">
        <f t="shared" si="3"/>
        <v>1559</v>
      </c>
      <c r="N41" s="13">
        <f t="shared" si="4"/>
        <v>1559</v>
      </c>
      <c r="O41" s="7">
        <f t="shared" si="5"/>
        <v>0</v>
      </c>
      <c r="Q41" s="7">
        <f t="shared" si="6"/>
        <v>0.02565747274</v>
      </c>
      <c r="R41" s="7">
        <f t="shared" si="7"/>
        <v>0</v>
      </c>
      <c r="S41" s="13" t="b">
        <f t="shared" si="8"/>
        <v>1</v>
      </c>
      <c r="T41" s="13">
        <f t="shared" si="9"/>
        <v>3600</v>
      </c>
      <c r="U41" s="7">
        <f t="shared" si="10"/>
        <v>0</v>
      </c>
      <c r="V41" s="7">
        <f t="shared" si="11"/>
        <v>0</v>
      </c>
      <c r="W41" s="13" t="b">
        <f t="shared" si="12"/>
        <v>1</v>
      </c>
      <c r="X41" s="13">
        <f t="shared" si="13"/>
        <v>142.12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4.87</v>
      </c>
    </row>
    <row r="42">
      <c r="A42" s="1" t="s">
        <v>47</v>
      </c>
      <c r="B42" s="12">
        <v>2725.0</v>
      </c>
      <c r="C42" s="12">
        <v>2784.0</v>
      </c>
      <c r="D42" s="7">
        <f t="shared" si="1"/>
        <v>0.02165137615</v>
      </c>
      <c r="E42" s="12">
        <v>3600.0</v>
      </c>
      <c r="F42" s="9">
        <v>2784.0</v>
      </c>
      <c r="G42" s="9">
        <v>2784.0</v>
      </c>
      <c r="H42" s="7">
        <f t="shared" si="2"/>
        <v>0</v>
      </c>
      <c r="I42" s="9">
        <v>225.42</v>
      </c>
      <c r="J42" s="9">
        <v>2784.0</v>
      </c>
      <c r="K42" s="9">
        <v>2780.8</v>
      </c>
      <c r="L42" s="9">
        <v>48.82</v>
      </c>
      <c r="M42" s="13">
        <f t="shared" si="3"/>
        <v>2784</v>
      </c>
      <c r="N42" s="13">
        <f t="shared" si="4"/>
        <v>2784</v>
      </c>
      <c r="O42" s="7">
        <f t="shared" si="5"/>
        <v>0</v>
      </c>
      <c r="Q42" s="7">
        <f t="shared" si="6"/>
        <v>0.02165137615</v>
      </c>
      <c r="R42" s="7">
        <f t="shared" si="7"/>
        <v>0.02165137615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225.42</v>
      </c>
      <c r="Y42" s="7">
        <f t="shared" si="14"/>
        <v>0</v>
      </c>
      <c r="Z42" s="7">
        <f t="shared" si="15"/>
        <v>0.001150747986</v>
      </c>
      <c r="AA42" s="13" t="b">
        <f t="shared" si="16"/>
        <v>1</v>
      </c>
      <c r="AB42" s="13">
        <f t="shared" si="17"/>
        <v>48.82</v>
      </c>
    </row>
    <row r="43">
      <c r="A43" s="1" t="s">
        <v>48</v>
      </c>
      <c r="B43" s="12">
        <v>3560.0</v>
      </c>
      <c r="C43" s="12">
        <v>3828.0</v>
      </c>
      <c r="D43" s="7">
        <f t="shared" si="1"/>
        <v>0.07528089888</v>
      </c>
      <c r="E43" s="12">
        <v>3600.0</v>
      </c>
      <c r="F43" s="9">
        <v>3572.0</v>
      </c>
      <c r="G43" s="9">
        <v>3670.0</v>
      </c>
      <c r="H43" s="7">
        <f t="shared" si="2"/>
        <v>0.0274356103</v>
      </c>
      <c r="I43" s="9">
        <v>3600.0</v>
      </c>
      <c r="J43" s="9">
        <v>3572.0</v>
      </c>
      <c r="K43" s="9">
        <v>3572.0</v>
      </c>
      <c r="L43" s="9">
        <v>116.05</v>
      </c>
      <c r="M43" s="13">
        <f t="shared" si="3"/>
        <v>3572</v>
      </c>
      <c r="N43" s="13">
        <f t="shared" si="4"/>
        <v>3670</v>
      </c>
      <c r="O43" s="7">
        <f t="shared" si="5"/>
        <v>0.0274356103</v>
      </c>
      <c r="Q43" s="7">
        <f t="shared" si="6"/>
        <v>0.07528089888</v>
      </c>
      <c r="R43" s="7">
        <f t="shared" si="7"/>
        <v>0.003370786517</v>
      </c>
      <c r="S43" s="13" t="b">
        <f t="shared" si="8"/>
        <v>0</v>
      </c>
      <c r="T43" s="13">
        <f t="shared" si="9"/>
        <v>3600</v>
      </c>
      <c r="U43" s="7">
        <f t="shared" si="10"/>
        <v>0.0274356103</v>
      </c>
      <c r="V43" s="7">
        <f t="shared" si="11"/>
        <v>0</v>
      </c>
      <c r="W43" s="13" t="b">
        <f t="shared" si="12"/>
        <v>1</v>
      </c>
      <c r="X43" s="13">
        <f t="shared" si="13"/>
        <v>3600</v>
      </c>
      <c r="Y43" s="7">
        <f t="shared" si="14"/>
        <v>0</v>
      </c>
      <c r="Z43" s="7">
        <f t="shared" si="15"/>
        <v>0</v>
      </c>
      <c r="AA43" s="13" t="b">
        <f t="shared" si="16"/>
        <v>1</v>
      </c>
      <c r="AB43" s="13">
        <f t="shared" si="17"/>
        <v>116.05</v>
      </c>
    </row>
    <row r="44">
      <c r="A44" s="1" t="s">
        <v>49</v>
      </c>
      <c r="B44" s="12">
        <v>3189.0</v>
      </c>
      <c r="C44" s="12">
        <v>3189.0</v>
      </c>
      <c r="D44" s="7">
        <f t="shared" si="1"/>
        <v>0</v>
      </c>
      <c r="E44" s="12">
        <v>1570.32</v>
      </c>
      <c r="F44" s="9">
        <v>3189.0</v>
      </c>
      <c r="G44" s="9">
        <v>3189.0</v>
      </c>
      <c r="H44" s="7">
        <f t="shared" si="2"/>
        <v>0</v>
      </c>
      <c r="I44" s="9">
        <v>147.42</v>
      </c>
      <c r="J44" s="9">
        <v>3189.0</v>
      </c>
      <c r="K44" s="9">
        <v>3189.0</v>
      </c>
      <c r="L44" s="9">
        <v>56.7</v>
      </c>
      <c r="M44" s="13">
        <f t="shared" si="3"/>
        <v>3189</v>
      </c>
      <c r="N44" s="13">
        <f t="shared" si="4"/>
        <v>3189</v>
      </c>
      <c r="O44" s="7">
        <f t="shared" si="5"/>
        <v>0</v>
      </c>
      <c r="Q44" s="7">
        <f t="shared" si="6"/>
        <v>0</v>
      </c>
      <c r="R44" s="7">
        <f t="shared" si="7"/>
        <v>0</v>
      </c>
      <c r="S44" s="13" t="b">
        <f t="shared" si="8"/>
        <v>1</v>
      </c>
      <c r="T44" s="13">
        <f t="shared" si="9"/>
        <v>1570.32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147.42</v>
      </c>
      <c r="Y44" s="7">
        <f t="shared" si="14"/>
        <v>0</v>
      </c>
      <c r="Z44" s="7">
        <f t="shared" si="15"/>
        <v>0</v>
      </c>
      <c r="AA44" s="13" t="b">
        <f t="shared" si="16"/>
        <v>1</v>
      </c>
      <c r="AB44" s="13">
        <f t="shared" si="17"/>
        <v>56.7</v>
      </c>
    </row>
    <row r="45">
      <c r="A45" s="1" t="s">
        <v>50</v>
      </c>
      <c r="B45" s="12">
        <v>4110.0</v>
      </c>
      <c r="C45" s="12">
        <v>4421.0</v>
      </c>
      <c r="D45" s="7">
        <f t="shared" si="1"/>
        <v>0.07566909976</v>
      </c>
      <c r="E45" s="12">
        <v>3600.0</v>
      </c>
      <c r="F45" s="9">
        <v>4348.0</v>
      </c>
      <c r="G45" s="9">
        <v>4348.0</v>
      </c>
      <c r="H45" s="7">
        <f t="shared" si="2"/>
        <v>0</v>
      </c>
      <c r="I45" s="9">
        <v>366.61</v>
      </c>
      <c r="J45" s="9">
        <v>4348.0</v>
      </c>
      <c r="K45" s="9">
        <v>4341.4</v>
      </c>
      <c r="L45" s="9">
        <v>237.81</v>
      </c>
      <c r="M45" s="13">
        <f t="shared" si="3"/>
        <v>4348</v>
      </c>
      <c r="N45" s="13">
        <f t="shared" si="4"/>
        <v>4348</v>
      </c>
      <c r="O45" s="7">
        <f t="shared" si="5"/>
        <v>0</v>
      </c>
      <c r="Q45" s="7">
        <f t="shared" si="6"/>
        <v>0.07566909976</v>
      </c>
      <c r="R45" s="7">
        <f t="shared" si="7"/>
        <v>0.05790754258</v>
      </c>
      <c r="S45" s="13" t="b">
        <f t="shared" si="8"/>
        <v>0</v>
      </c>
      <c r="T45" s="13">
        <f t="shared" si="9"/>
        <v>3600</v>
      </c>
      <c r="U45" s="7">
        <f t="shared" si="10"/>
        <v>0</v>
      </c>
      <c r="V45" s="7">
        <f t="shared" si="11"/>
        <v>0</v>
      </c>
      <c r="W45" s="13" t="b">
        <f t="shared" si="12"/>
        <v>1</v>
      </c>
      <c r="X45" s="13">
        <f t="shared" si="13"/>
        <v>366.61</v>
      </c>
      <c r="Y45" s="7">
        <f t="shared" si="14"/>
        <v>0</v>
      </c>
      <c r="Z45" s="7">
        <f t="shared" si="15"/>
        <v>0.001520246925</v>
      </c>
      <c r="AA45" s="13" t="b">
        <f t="shared" si="16"/>
        <v>1</v>
      </c>
      <c r="AB45" s="13">
        <f t="shared" si="17"/>
        <v>237.81</v>
      </c>
    </row>
    <row r="46">
      <c r="A46" s="1" t="s">
        <v>51</v>
      </c>
      <c r="B46" s="12">
        <v>2225.0</v>
      </c>
      <c r="C46" s="12">
        <v>3824.0</v>
      </c>
      <c r="D46" s="7">
        <f t="shared" si="1"/>
        <v>0.7186516854</v>
      </c>
      <c r="E46" s="12">
        <v>3600.0</v>
      </c>
      <c r="F46" s="9">
        <v>2229.0</v>
      </c>
      <c r="G46" s="9">
        <v>3143.0</v>
      </c>
      <c r="H46" s="7">
        <f t="shared" si="2"/>
        <v>0.4100493495</v>
      </c>
      <c r="I46" s="9">
        <v>3600.0</v>
      </c>
      <c r="J46" s="9">
        <v>2229.0</v>
      </c>
      <c r="K46" s="9">
        <v>2229.0</v>
      </c>
      <c r="L46" s="9">
        <v>47.78</v>
      </c>
      <c r="M46" s="13">
        <f t="shared" si="3"/>
        <v>2229</v>
      </c>
      <c r="N46" s="13">
        <f t="shared" si="4"/>
        <v>3143</v>
      </c>
      <c r="O46" s="7">
        <f t="shared" si="5"/>
        <v>0.4100493495</v>
      </c>
      <c r="Q46" s="7">
        <f t="shared" si="6"/>
        <v>0.7186516854</v>
      </c>
      <c r="R46" s="7">
        <f t="shared" si="7"/>
        <v>0.001797752809</v>
      </c>
      <c r="S46" s="13" t="b">
        <f t="shared" si="8"/>
        <v>0</v>
      </c>
      <c r="T46" s="13">
        <f t="shared" si="9"/>
        <v>3600</v>
      </c>
      <c r="U46" s="7">
        <f t="shared" si="10"/>
        <v>0.4100493495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47.78</v>
      </c>
    </row>
    <row r="47">
      <c r="A47" s="1" t="s">
        <v>52</v>
      </c>
      <c r="B47" s="12">
        <v>3716.0</v>
      </c>
      <c r="C47" s="12">
        <v>3811.0</v>
      </c>
      <c r="D47" s="7">
        <f t="shared" si="1"/>
        <v>0.02556512379</v>
      </c>
      <c r="E47" s="12">
        <v>3600.0</v>
      </c>
      <c r="F47" s="9">
        <v>3716.0</v>
      </c>
      <c r="G47" s="9">
        <v>3730.0</v>
      </c>
      <c r="H47" s="7">
        <f t="shared" si="2"/>
        <v>0.003767491927</v>
      </c>
      <c r="I47" s="9">
        <v>3600.0</v>
      </c>
      <c r="J47" s="9">
        <v>3716.0</v>
      </c>
      <c r="K47" s="9">
        <v>3716.0</v>
      </c>
      <c r="L47" s="9">
        <v>90.84</v>
      </c>
      <c r="M47" s="13">
        <f t="shared" si="3"/>
        <v>3716</v>
      </c>
      <c r="N47" s="13">
        <f t="shared" si="4"/>
        <v>3730</v>
      </c>
      <c r="O47" s="7">
        <f t="shared" si="5"/>
        <v>0.003767491927</v>
      </c>
      <c r="Q47" s="7">
        <f t="shared" si="6"/>
        <v>0.02556512379</v>
      </c>
      <c r="R47" s="7">
        <f t="shared" si="7"/>
        <v>0</v>
      </c>
      <c r="S47" s="13" t="b">
        <f t="shared" si="8"/>
        <v>1</v>
      </c>
      <c r="T47" s="13">
        <f t="shared" si="9"/>
        <v>3600</v>
      </c>
      <c r="U47" s="7">
        <f t="shared" si="10"/>
        <v>0.003767491927</v>
      </c>
      <c r="V47" s="7">
        <f t="shared" si="11"/>
        <v>0</v>
      </c>
      <c r="W47" s="13" t="b">
        <f t="shared" si="12"/>
        <v>1</v>
      </c>
      <c r="X47" s="13">
        <f t="shared" si="13"/>
        <v>3600</v>
      </c>
      <c r="Y47" s="7">
        <f t="shared" si="14"/>
        <v>0</v>
      </c>
      <c r="Z47" s="7">
        <f t="shared" si="15"/>
        <v>0</v>
      </c>
      <c r="AA47" s="13" t="b">
        <f t="shared" si="16"/>
        <v>1</v>
      </c>
      <c r="AB47" s="13">
        <f t="shared" si="17"/>
        <v>90.84</v>
      </c>
    </row>
    <row r="48">
      <c r="A48" s="1" t="s">
        <v>53</v>
      </c>
      <c r="B48" s="12">
        <v>4590.0</v>
      </c>
      <c r="C48" s="12">
        <v>5564.0</v>
      </c>
      <c r="D48" s="7">
        <f t="shared" si="1"/>
        <v>0.2122004357</v>
      </c>
      <c r="E48" s="12">
        <v>3600.0</v>
      </c>
      <c r="F48" s="9">
        <v>4829.0</v>
      </c>
      <c r="G48" s="9">
        <v>4879.0</v>
      </c>
      <c r="H48" s="7">
        <f t="shared" si="2"/>
        <v>0.01035411058</v>
      </c>
      <c r="I48" s="9">
        <v>3600.0</v>
      </c>
      <c r="J48" s="9">
        <v>4829.0</v>
      </c>
      <c r="K48" s="9">
        <v>4829.0</v>
      </c>
      <c r="L48" s="9">
        <v>165.02</v>
      </c>
      <c r="M48" s="13">
        <f t="shared" si="3"/>
        <v>4829</v>
      </c>
      <c r="N48" s="13">
        <f t="shared" si="4"/>
        <v>4879</v>
      </c>
      <c r="O48" s="7">
        <f t="shared" si="5"/>
        <v>0.01035411058</v>
      </c>
      <c r="Q48" s="7">
        <f t="shared" si="6"/>
        <v>0.2122004357</v>
      </c>
      <c r="R48" s="7">
        <f t="shared" si="7"/>
        <v>0.05206971678</v>
      </c>
      <c r="S48" s="13" t="b">
        <f t="shared" si="8"/>
        <v>0</v>
      </c>
      <c r="T48" s="13">
        <f t="shared" si="9"/>
        <v>3600</v>
      </c>
      <c r="U48" s="7">
        <f t="shared" si="10"/>
        <v>0.01035411058</v>
      </c>
      <c r="V48" s="7">
        <f t="shared" si="11"/>
        <v>0</v>
      </c>
      <c r="W48" s="13" t="b">
        <f t="shared" si="12"/>
        <v>1</v>
      </c>
      <c r="X48" s="13">
        <f t="shared" si="13"/>
        <v>3600</v>
      </c>
      <c r="Y48" s="7">
        <f t="shared" si="14"/>
        <v>0</v>
      </c>
      <c r="Z48" s="7">
        <f t="shared" si="15"/>
        <v>0</v>
      </c>
      <c r="AA48" s="13" t="b">
        <f t="shared" si="16"/>
        <v>1</v>
      </c>
      <c r="AB48" s="13">
        <f t="shared" si="17"/>
        <v>165.02</v>
      </c>
    </row>
    <row r="49">
      <c r="A49" s="1" t="s">
        <v>54</v>
      </c>
      <c r="B49" s="12">
        <v>4574.0</v>
      </c>
      <c r="C49" s="12">
        <v>6189.0</v>
      </c>
      <c r="D49" s="7">
        <f t="shared" si="1"/>
        <v>0.353082641</v>
      </c>
      <c r="E49" s="12">
        <v>3600.0</v>
      </c>
      <c r="F49" s="9">
        <v>4663.0</v>
      </c>
      <c r="G49" s="9">
        <v>5716.0</v>
      </c>
      <c r="H49" s="7">
        <f t="shared" si="2"/>
        <v>0.2258202874</v>
      </c>
      <c r="I49" s="9">
        <v>3600.0</v>
      </c>
      <c r="J49" s="9">
        <v>4663.0</v>
      </c>
      <c r="K49" s="9">
        <v>4663.0</v>
      </c>
      <c r="L49" s="9">
        <v>126.04</v>
      </c>
      <c r="M49" s="13">
        <f t="shared" si="3"/>
        <v>4663</v>
      </c>
      <c r="N49" s="13">
        <f t="shared" si="4"/>
        <v>5716</v>
      </c>
      <c r="O49" s="7">
        <f t="shared" si="5"/>
        <v>0.2258202874</v>
      </c>
      <c r="Q49" s="7">
        <f t="shared" si="6"/>
        <v>0.353082641</v>
      </c>
      <c r="R49" s="7">
        <f t="shared" si="7"/>
        <v>0.01945780498</v>
      </c>
      <c r="S49" s="13" t="b">
        <f t="shared" si="8"/>
        <v>0</v>
      </c>
      <c r="T49" s="13">
        <f t="shared" si="9"/>
        <v>3600</v>
      </c>
      <c r="U49" s="7">
        <f t="shared" si="10"/>
        <v>0.2258202874</v>
      </c>
      <c r="V49" s="7">
        <f t="shared" si="11"/>
        <v>0</v>
      </c>
      <c r="W49" s="13" t="b">
        <f t="shared" si="12"/>
        <v>1</v>
      </c>
      <c r="X49" s="13">
        <f t="shared" si="13"/>
        <v>3600</v>
      </c>
      <c r="Y49" s="7">
        <f t="shared" si="14"/>
        <v>0</v>
      </c>
      <c r="Z49" s="7">
        <f t="shared" si="15"/>
        <v>0</v>
      </c>
      <c r="AA49" s="13" t="b">
        <f t="shared" si="16"/>
        <v>1</v>
      </c>
      <c r="AB49" s="13">
        <f t="shared" si="17"/>
        <v>126.04</v>
      </c>
    </row>
    <row r="50">
      <c r="A50" s="1" t="s">
        <v>55</v>
      </c>
      <c r="B50" s="12">
        <v>3714.0</v>
      </c>
      <c r="C50" s="12">
        <v>6226.0</v>
      </c>
      <c r="D50" s="7">
        <f t="shared" si="1"/>
        <v>0.67635972</v>
      </c>
      <c r="E50" s="12">
        <v>3600.0</v>
      </c>
      <c r="F50" s="9">
        <v>3745.0</v>
      </c>
      <c r="G50" s="9">
        <v>4616.0</v>
      </c>
      <c r="H50" s="7">
        <f t="shared" si="2"/>
        <v>0.232576769</v>
      </c>
      <c r="I50" s="9">
        <v>3600.0</v>
      </c>
      <c r="J50" s="9">
        <v>3776.0</v>
      </c>
      <c r="K50" s="9">
        <v>3773.2</v>
      </c>
      <c r="L50" s="9">
        <v>84.91</v>
      </c>
      <c r="M50" s="13">
        <f t="shared" si="3"/>
        <v>3776</v>
      </c>
      <c r="N50" s="13">
        <f t="shared" si="4"/>
        <v>4616</v>
      </c>
      <c r="O50" s="7">
        <f t="shared" si="5"/>
        <v>0.2224576271</v>
      </c>
      <c r="Q50" s="7">
        <f t="shared" si="6"/>
        <v>0.67635972</v>
      </c>
      <c r="R50" s="7">
        <f t="shared" si="7"/>
        <v>0.01669359181</v>
      </c>
      <c r="S50" s="13" t="b">
        <f t="shared" si="8"/>
        <v>0</v>
      </c>
      <c r="T50" s="13">
        <f t="shared" si="9"/>
        <v>3600</v>
      </c>
      <c r="U50" s="7">
        <f t="shared" si="10"/>
        <v>0.232576769</v>
      </c>
      <c r="V50" s="7">
        <f t="shared" si="11"/>
        <v>0.008277703605</v>
      </c>
      <c r="W50" s="13" t="b">
        <f t="shared" si="12"/>
        <v>0</v>
      </c>
      <c r="X50" s="13">
        <f t="shared" si="13"/>
        <v>3600</v>
      </c>
      <c r="Y50" s="7">
        <f t="shared" si="14"/>
        <v>0</v>
      </c>
      <c r="Z50" s="7">
        <f t="shared" si="15"/>
        <v>0.0007420756917</v>
      </c>
      <c r="AA50" s="13" t="b">
        <f t="shared" si="16"/>
        <v>1</v>
      </c>
      <c r="AB50" s="13">
        <f t="shared" si="17"/>
        <v>84.91</v>
      </c>
    </row>
    <row r="51">
      <c r="A51" s="1" t="s">
        <v>56</v>
      </c>
      <c r="B51" s="12">
        <v>4949.0</v>
      </c>
      <c r="C51" s="12">
        <v>5285.0</v>
      </c>
      <c r="D51" s="7">
        <f t="shared" si="1"/>
        <v>0.06789250354</v>
      </c>
      <c r="E51" s="12">
        <v>3600.0</v>
      </c>
      <c r="F51" s="9">
        <v>5126.0</v>
      </c>
      <c r="G51" s="9">
        <v>5126.0</v>
      </c>
      <c r="H51" s="7">
        <f t="shared" si="2"/>
        <v>0</v>
      </c>
      <c r="I51" s="9">
        <v>1034.0</v>
      </c>
      <c r="J51" s="9">
        <v>5047.0</v>
      </c>
      <c r="K51" s="9">
        <v>5019.3</v>
      </c>
      <c r="L51" s="9">
        <v>124.56</v>
      </c>
      <c r="M51" s="13">
        <f t="shared" si="3"/>
        <v>5126</v>
      </c>
      <c r="N51" s="13">
        <f t="shared" si="4"/>
        <v>5126</v>
      </c>
      <c r="O51" s="7">
        <f t="shared" si="5"/>
        <v>0</v>
      </c>
      <c r="Q51" s="7">
        <f t="shared" si="6"/>
        <v>0.06789250354</v>
      </c>
      <c r="R51" s="7">
        <f t="shared" si="7"/>
        <v>0.03576480097</v>
      </c>
      <c r="S51" s="13" t="b">
        <f t="shared" si="8"/>
        <v>0</v>
      </c>
      <c r="T51" s="13">
        <f t="shared" si="9"/>
        <v>3600</v>
      </c>
      <c r="U51" s="7">
        <f t="shared" si="10"/>
        <v>0</v>
      </c>
      <c r="V51" s="7">
        <f t="shared" si="11"/>
        <v>0</v>
      </c>
      <c r="W51" s="13" t="b">
        <f t="shared" si="12"/>
        <v>1</v>
      </c>
      <c r="X51" s="13">
        <f t="shared" si="13"/>
        <v>1034</v>
      </c>
      <c r="Y51" s="7">
        <f t="shared" si="14"/>
        <v>0.01565286309</v>
      </c>
      <c r="Z51" s="7">
        <f t="shared" si="15"/>
        <v>0.02125794433</v>
      </c>
      <c r="AA51" s="13" t="b">
        <f t="shared" si="16"/>
        <v>0</v>
      </c>
      <c r="AB51" s="13">
        <f t="shared" si="17"/>
        <v>124.56</v>
      </c>
    </row>
    <row r="52">
      <c r="A52" s="1" t="s">
        <v>57</v>
      </c>
      <c r="B52" s="12">
        <v>8142.0</v>
      </c>
      <c r="C52" s="12">
        <v>8953.0</v>
      </c>
      <c r="D52" s="7">
        <f t="shared" si="1"/>
        <v>0.09960697617</v>
      </c>
      <c r="E52" s="12">
        <v>3600.0</v>
      </c>
      <c r="F52" s="9">
        <v>8286.0</v>
      </c>
      <c r="G52" s="9">
        <v>8670.0</v>
      </c>
      <c r="H52" s="7">
        <f t="shared" si="2"/>
        <v>0.04634322954</v>
      </c>
      <c r="I52" s="9">
        <v>3600.0</v>
      </c>
      <c r="J52" s="9">
        <v>8286.0</v>
      </c>
      <c r="K52" s="9">
        <v>8267.2</v>
      </c>
      <c r="L52" s="9">
        <v>160.84</v>
      </c>
      <c r="M52" s="13">
        <f t="shared" si="3"/>
        <v>8286</v>
      </c>
      <c r="N52" s="13">
        <f t="shared" si="4"/>
        <v>8670</v>
      </c>
      <c r="O52" s="7">
        <f t="shared" si="5"/>
        <v>0.04634322954</v>
      </c>
      <c r="Q52" s="7">
        <f t="shared" si="6"/>
        <v>0.09960697617</v>
      </c>
      <c r="R52" s="7">
        <f t="shared" si="7"/>
        <v>0.01768607222</v>
      </c>
      <c r="S52" s="13" t="b">
        <f t="shared" si="8"/>
        <v>0</v>
      </c>
      <c r="T52" s="13">
        <f t="shared" si="9"/>
        <v>3600</v>
      </c>
      <c r="U52" s="7">
        <f t="shared" si="10"/>
        <v>0.04634322954</v>
      </c>
      <c r="V52" s="7">
        <f t="shared" si="11"/>
        <v>0</v>
      </c>
      <c r="W52" s="13" t="b">
        <f t="shared" si="12"/>
        <v>1</v>
      </c>
      <c r="X52" s="13">
        <f t="shared" si="13"/>
        <v>3600</v>
      </c>
      <c r="Y52" s="7">
        <f t="shared" si="14"/>
        <v>0</v>
      </c>
      <c r="Z52" s="7">
        <f t="shared" si="15"/>
        <v>0.002274046836</v>
      </c>
      <c r="AA52" s="13" t="b">
        <f t="shared" si="16"/>
        <v>1</v>
      </c>
      <c r="AB52" s="13">
        <f t="shared" si="17"/>
        <v>160.84</v>
      </c>
    </row>
    <row r="53">
      <c r="A53" s="1" t="s">
        <v>58</v>
      </c>
      <c r="B53" s="12">
        <v>5400.0</v>
      </c>
      <c r="C53" s="12">
        <v>11812.0</v>
      </c>
      <c r="D53" s="7">
        <f t="shared" si="1"/>
        <v>1.187407407</v>
      </c>
      <c r="E53" s="12">
        <v>3600.0</v>
      </c>
      <c r="F53" s="9">
        <v>5425.0</v>
      </c>
      <c r="G53" s="9">
        <v>7013.0</v>
      </c>
      <c r="H53" s="7">
        <f t="shared" si="2"/>
        <v>0.292718894</v>
      </c>
      <c r="I53" s="9">
        <v>3600.0</v>
      </c>
      <c r="J53" s="9">
        <v>5425.0</v>
      </c>
      <c r="K53" s="9">
        <v>5425.0</v>
      </c>
      <c r="L53" s="9">
        <v>15.03</v>
      </c>
      <c r="M53" s="13">
        <f t="shared" si="3"/>
        <v>5425</v>
      </c>
      <c r="N53" s="13">
        <f t="shared" si="4"/>
        <v>7013</v>
      </c>
      <c r="O53" s="7">
        <f t="shared" si="5"/>
        <v>0.292718894</v>
      </c>
      <c r="Q53" s="7">
        <f t="shared" si="6"/>
        <v>1.187407407</v>
      </c>
      <c r="R53" s="7">
        <f t="shared" si="7"/>
        <v>0.00462962963</v>
      </c>
      <c r="S53" s="13" t="b">
        <f t="shared" si="8"/>
        <v>0</v>
      </c>
      <c r="T53" s="13">
        <f t="shared" si="9"/>
        <v>3600</v>
      </c>
      <c r="U53" s="7">
        <f t="shared" si="10"/>
        <v>0.292718894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15.03</v>
      </c>
    </row>
    <row r="54">
      <c r="A54" s="1" t="s">
        <v>59</v>
      </c>
      <c r="B54" s="12">
        <v>7753.0</v>
      </c>
      <c r="C54" s="12">
        <v>8810.0</v>
      </c>
      <c r="D54" s="7">
        <f t="shared" si="1"/>
        <v>0.1363343222</v>
      </c>
      <c r="E54" s="12">
        <v>3600.0</v>
      </c>
      <c r="F54" s="9">
        <v>8671.0</v>
      </c>
      <c r="G54" s="9">
        <v>8671.0</v>
      </c>
      <c r="H54" s="7">
        <f t="shared" si="2"/>
        <v>0</v>
      </c>
      <c r="I54" s="9">
        <v>947.85</v>
      </c>
      <c r="J54" s="9">
        <v>8621.0</v>
      </c>
      <c r="K54" s="9">
        <v>8602.5</v>
      </c>
      <c r="L54" s="9">
        <v>150.51</v>
      </c>
      <c r="M54" s="13">
        <f t="shared" si="3"/>
        <v>8671</v>
      </c>
      <c r="N54" s="13">
        <f t="shared" si="4"/>
        <v>8671</v>
      </c>
      <c r="O54" s="7">
        <f t="shared" si="5"/>
        <v>0</v>
      </c>
      <c r="Q54" s="7">
        <f t="shared" si="6"/>
        <v>0.1363343222</v>
      </c>
      <c r="R54" s="7">
        <f t="shared" si="7"/>
        <v>0.1184057784</v>
      </c>
      <c r="S54" s="13" t="b">
        <f t="shared" si="8"/>
        <v>0</v>
      </c>
      <c r="T54" s="13">
        <f t="shared" si="9"/>
        <v>3600</v>
      </c>
      <c r="U54" s="7">
        <f t="shared" si="10"/>
        <v>0</v>
      </c>
      <c r="V54" s="7">
        <f t="shared" si="11"/>
        <v>0</v>
      </c>
      <c r="W54" s="13" t="b">
        <f t="shared" si="12"/>
        <v>1</v>
      </c>
      <c r="X54" s="13">
        <f t="shared" si="13"/>
        <v>947.85</v>
      </c>
      <c r="Y54" s="7">
        <f t="shared" si="14"/>
        <v>0.005799791208</v>
      </c>
      <c r="Z54" s="7">
        <f t="shared" si="15"/>
        <v>0.007962801511</v>
      </c>
      <c r="AA54" s="13" t="b">
        <f t="shared" si="16"/>
        <v>0</v>
      </c>
      <c r="AB54" s="13">
        <f t="shared" si="17"/>
        <v>150.51</v>
      </c>
    </row>
    <row r="55">
      <c r="A55" s="1" t="s">
        <v>60</v>
      </c>
      <c r="B55" s="12">
        <v>6924.0</v>
      </c>
      <c r="C55" s="12">
        <v>8907.0</v>
      </c>
      <c r="D55" s="7">
        <f t="shared" si="1"/>
        <v>0.2863951473</v>
      </c>
      <c r="E55" s="12">
        <v>3600.0</v>
      </c>
      <c r="F55" s="9">
        <v>8028.0</v>
      </c>
      <c r="G55" s="9">
        <v>8490.0</v>
      </c>
      <c r="H55" s="7">
        <f t="shared" si="2"/>
        <v>0.05754857997</v>
      </c>
      <c r="I55" s="9">
        <v>3600.0</v>
      </c>
      <c r="J55" s="9">
        <v>8022.0</v>
      </c>
      <c r="K55" s="9">
        <v>8016.3</v>
      </c>
      <c r="L55" s="9">
        <v>207.22</v>
      </c>
      <c r="M55" s="13">
        <f t="shared" si="3"/>
        <v>8028</v>
      </c>
      <c r="N55" s="13">
        <f t="shared" si="4"/>
        <v>8490</v>
      </c>
      <c r="O55" s="7">
        <f t="shared" si="5"/>
        <v>0.05754857997</v>
      </c>
      <c r="Q55" s="7">
        <f t="shared" si="6"/>
        <v>0.2863951473</v>
      </c>
      <c r="R55" s="7">
        <f t="shared" si="7"/>
        <v>0.1594454073</v>
      </c>
      <c r="S55" s="13" t="b">
        <f t="shared" si="8"/>
        <v>0</v>
      </c>
      <c r="T55" s="13">
        <f t="shared" si="9"/>
        <v>3600</v>
      </c>
      <c r="U55" s="7">
        <f t="shared" si="10"/>
        <v>0.05754857997</v>
      </c>
      <c r="V55" s="7">
        <f t="shared" si="11"/>
        <v>0</v>
      </c>
      <c r="W55" s="13" t="b">
        <f t="shared" si="12"/>
        <v>1</v>
      </c>
      <c r="X55" s="13">
        <f t="shared" si="13"/>
        <v>3600</v>
      </c>
      <c r="Y55" s="7">
        <f t="shared" si="14"/>
        <v>0.0007479431563</v>
      </c>
      <c r="Z55" s="7">
        <f t="shared" si="15"/>
        <v>0.001459526215</v>
      </c>
      <c r="AA55" s="13" t="b">
        <f t="shared" si="16"/>
        <v>0</v>
      </c>
      <c r="AB55" s="13">
        <f t="shared" si="17"/>
        <v>207.22</v>
      </c>
    </row>
    <row r="56">
      <c r="A56" s="1" t="s">
        <v>61</v>
      </c>
      <c r="B56" s="12">
        <v>7773.0</v>
      </c>
      <c r="C56" s="12">
        <v>11918.0</v>
      </c>
      <c r="D56" s="7">
        <f t="shared" si="1"/>
        <v>0.5332561431</v>
      </c>
      <c r="E56" s="12">
        <v>3600.0</v>
      </c>
      <c r="F56" s="9">
        <v>8954.0</v>
      </c>
      <c r="G56" s="9">
        <v>10772.0</v>
      </c>
      <c r="H56" s="7">
        <f t="shared" si="2"/>
        <v>0.2030377485</v>
      </c>
      <c r="I56" s="9">
        <v>3600.0</v>
      </c>
      <c r="J56" s="9">
        <v>8954.0</v>
      </c>
      <c r="K56" s="9">
        <v>8922.4</v>
      </c>
      <c r="L56" s="9">
        <v>113.87</v>
      </c>
      <c r="M56" s="13">
        <f t="shared" si="3"/>
        <v>8954</v>
      </c>
      <c r="N56" s="13">
        <f t="shared" si="4"/>
        <v>10772</v>
      </c>
      <c r="O56" s="7">
        <f t="shared" si="5"/>
        <v>0.2030377485</v>
      </c>
      <c r="Q56" s="7">
        <f t="shared" si="6"/>
        <v>0.5332561431</v>
      </c>
      <c r="R56" s="7">
        <f t="shared" si="7"/>
        <v>0.1519361894</v>
      </c>
      <c r="S56" s="13" t="b">
        <f t="shared" si="8"/>
        <v>0</v>
      </c>
      <c r="T56" s="13">
        <f t="shared" si="9"/>
        <v>3600</v>
      </c>
      <c r="U56" s="7">
        <f t="shared" si="10"/>
        <v>0.2030377485</v>
      </c>
      <c r="V56" s="7">
        <f t="shared" si="11"/>
        <v>0</v>
      </c>
      <c r="W56" s="13" t="b">
        <f t="shared" si="12"/>
        <v>1</v>
      </c>
      <c r="X56" s="13">
        <f t="shared" si="13"/>
        <v>3600</v>
      </c>
      <c r="Y56" s="7">
        <f t="shared" si="14"/>
        <v>0</v>
      </c>
      <c r="Z56" s="7">
        <f t="shared" si="15"/>
        <v>0.003541647987</v>
      </c>
      <c r="AA56" s="13" t="b">
        <f t="shared" si="16"/>
        <v>1</v>
      </c>
      <c r="AB56" s="13">
        <f t="shared" si="17"/>
        <v>113.87</v>
      </c>
    </row>
    <row r="57">
      <c r="A57" s="1" t="s">
        <v>62</v>
      </c>
      <c r="B57" s="12">
        <v>8480.0</v>
      </c>
      <c r="C57" s="12">
        <v>9871.0</v>
      </c>
      <c r="D57" s="7">
        <f t="shared" si="1"/>
        <v>0.1640330189</v>
      </c>
      <c r="E57" s="12">
        <v>3600.0</v>
      </c>
      <c r="F57" s="9">
        <v>9809.0</v>
      </c>
      <c r="G57" s="9">
        <v>9809.0</v>
      </c>
      <c r="H57" s="7">
        <f t="shared" si="2"/>
        <v>0</v>
      </c>
      <c r="I57" s="9">
        <v>2386.64</v>
      </c>
      <c r="J57" s="9">
        <v>9809.0</v>
      </c>
      <c r="K57" s="9">
        <v>9710.9</v>
      </c>
      <c r="L57" s="9">
        <v>189.47</v>
      </c>
      <c r="M57" s="13">
        <f t="shared" si="3"/>
        <v>9809</v>
      </c>
      <c r="N57" s="13">
        <f t="shared" si="4"/>
        <v>9809</v>
      </c>
      <c r="O57" s="7">
        <f t="shared" si="5"/>
        <v>0</v>
      </c>
      <c r="Q57" s="7">
        <f t="shared" si="6"/>
        <v>0.1640330189</v>
      </c>
      <c r="R57" s="7">
        <f t="shared" si="7"/>
        <v>0.1567216981</v>
      </c>
      <c r="S57" s="13" t="b">
        <f t="shared" si="8"/>
        <v>0</v>
      </c>
      <c r="T57" s="13">
        <f t="shared" si="9"/>
        <v>3600</v>
      </c>
      <c r="U57" s="7">
        <f t="shared" si="10"/>
        <v>0</v>
      </c>
      <c r="V57" s="7">
        <f t="shared" si="11"/>
        <v>0</v>
      </c>
      <c r="W57" s="13" t="b">
        <f t="shared" si="12"/>
        <v>1</v>
      </c>
      <c r="X57" s="13">
        <f t="shared" si="13"/>
        <v>2386.64</v>
      </c>
      <c r="Y57" s="7">
        <f t="shared" si="14"/>
        <v>0</v>
      </c>
      <c r="Z57" s="7">
        <f t="shared" si="15"/>
        <v>0.01010205027</v>
      </c>
      <c r="AA57" s="13" t="b">
        <f t="shared" si="16"/>
        <v>1</v>
      </c>
      <c r="AB57" s="13">
        <f t="shared" si="17"/>
        <v>189.47</v>
      </c>
    </row>
    <row r="58">
      <c r="A58" s="1" t="s">
        <v>63</v>
      </c>
      <c r="B58" s="12">
        <v>8132.0</v>
      </c>
      <c r="C58" s="12">
        <v>10818.0</v>
      </c>
      <c r="D58" s="7">
        <f t="shared" si="1"/>
        <v>0.3303000492</v>
      </c>
      <c r="E58" s="12">
        <v>3600.0</v>
      </c>
      <c r="F58" s="9">
        <v>9061.0</v>
      </c>
      <c r="G58" s="9">
        <v>10146.0</v>
      </c>
      <c r="H58" s="7">
        <f t="shared" si="2"/>
        <v>0.1197439576</v>
      </c>
      <c r="I58" s="9">
        <v>3600.0</v>
      </c>
      <c r="J58" s="9">
        <v>9290.0</v>
      </c>
      <c r="K58" s="9">
        <v>9268.2</v>
      </c>
      <c r="L58" s="9">
        <v>170.97</v>
      </c>
      <c r="M58" s="13">
        <f t="shared" si="3"/>
        <v>9290</v>
      </c>
      <c r="N58" s="13">
        <f t="shared" si="4"/>
        <v>10146</v>
      </c>
      <c r="O58" s="7">
        <f t="shared" si="5"/>
        <v>0.09214208827</v>
      </c>
      <c r="Q58" s="7">
        <f t="shared" si="6"/>
        <v>0.3303000492</v>
      </c>
      <c r="R58" s="7">
        <f t="shared" si="7"/>
        <v>0.1424003935</v>
      </c>
      <c r="S58" s="13" t="b">
        <f t="shared" si="8"/>
        <v>0</v>
      </c>
      <c r="T58" s="13">
        <f t="shared" si="9"/>
        <v>3600</v>
      </c>
      <c r="U58" s="7">
        <f t="shared" si="10"/>
        <v>0.1197439576</v>
      </c>
      <c r="V58" s="7">
        <f t="shared" si="11"/>
        <v>0.02527314866</v>
      </c>
      <c r="W58" s="13" t="b">
        <f t="shared" si="12"/>
        <v>0</v>
      </c>
      <c r="X58" s="13">
        <f t="shared" si="13"/>
        <v>3600</v>
      </c>
      <c r="Y58" s="7">
        <f t="shared" si="14"/>
        <v>0</v>
      </c>
      <c r="Z58" s="7">
        <f t="shared" si="15"/>
        <v>0.002352128784</v>
      </c>
      <c r="AA58" s="13" t="b">
        <f t="shared" si="16"/>
        <v>1</v>
      </c>
      <c r="AB58" s="13">
        <f t="shared" si="17"/>
        <v>170.97</v>
      </c>
    </row>
    <row r="59">
      <c r="A59" s="1" t="s">
        <v>64</v>
      </c>
      <c r="B59" s="12">
        <v>8782.0</v>
      </c>
      <c r="C59" s="12">
        <v>16810.0</v>
      </c>
      <c r="D59" s="7">
        <f t="shared" si="1"/>
        <v>0.9141425643</v>
      </c>
      <c r="E59" s="12">
        <v>3600.0</v>
      </c>
      <c r="F59" s="9">
        <v>8782.0</v>
      </c>
      <c r="G59" s="9">
        <v>11454.0</v>
      </c>
      <c r="H59" s="7">
        <f t="shared" si="2"/>
        <v>0.304258711</v>
      </c>
      <c r="I59" s="9">
        <v>3600.0</v>
      </c>
      <c r="J59" s="9">
        <v>8782.0</v>
      </c>
      <c r="K59" s="9">
        <v>8782.0</v>
      </c>
      <c r="L59" s="9">
        <v>59.81</v>
      </c>
      <c r="M59" s="13">
        <f t="shared" si="3"/>
        <v>8782</v>
      </c>
      <c r="N59" s="13">
        <f t="shared" si="4"/>
        <v>11454</v>
      </c>
      <c r="O59" s="7">
        <f t="shared" si="5"/>
        <v>0.304258711</v>
      </c>
      <c r="Q59" s="7">
        <f t="shared" si="6"/>
        <v>0.9141425643</v>
      </c>
      <c r="R59" s="7">
        <f t="shared" si="7"/>
        <v>0</v>
      </c>
      <c r="S59" s="13" t="b">
        <f t="shared" si="8"/>
        <v>1</v>
      </c>
      <c r="T59" s="13">
        <f t="shared" si="9"/>
        <v>3600</v>
      </c>
      <c r="U59" s="7">
        <f t="shared" si="10"/>
        <v>0.304258711</v>
      </c>
      <c r="V59" s="7">
        <f t="shared" si="11"/>
        <v>0</v>
      </c>
      <c r="W59" s="13" t="b">
        <f t="shared" si="12"/>
        <v>1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59.81</v>
      </c>
    </row>
    <row r="60">
      <c r="A60" s="1" t="s">
        <v>65</v>
      </c>
      <c r="B60" s="12">
        <v>8855.0</v>
      </c>
      <c r="C60" s="12">
        <v>14433.0</v>
      </c>
      <c r="D60" s="7">
        <f t="shared" si="1"/>
        <v>0.6299265951</v>
      </c>
      <c r="E60" s="12">
        <v>3600.0</v>
      </c>
      <c r="F60" s="9">
        <v>10852.0</v>
      </c>
      <c r="G60" s="9">
        <v>12439.0</v>
      </c>
      <c r="H60" s="7">
        <f t="shared" si="2"/>
        <v>0.1462403244</v>
      </c>
      <c r="I60" s="9">
        <v>3600.0</v>
      </c>
      <c r="J60" s="9">
        <v>10852.0</v>
      </c>
      <c r="K60" s="9">
        <v>10841.4</v>
      </c>
      <c r="L60" s="9">
        <v>241.05</v>
      </c>
      <c r="M60" s="13">
        <f t="shared" si="3"/>
        <v>10852</v>
      </c>
      <c r="N60" s="13">
        <f t="shared" si="4"/>
        <v>12439</v>
      </c>
      <c r="O60" s="7">
        <f t="shared" si="5"/>
        <v>0.1462403244</v>
      </c>
      <c r="Q60" s="7">
        <f t="shared" si="6"/>
        <v>0.6299265951</v>
      </c>
      <c r="R60" s="7">
        <f t="shared" si="7"/>
        <v>0.2255223038</v>
      </c>
      <c r="S60" s="13" t="b">
        <f t="shared" si="8"/>
        <v>0</v>
      </c>
      <c r="T60" s="13">
        <f t="shared" si="9"/>
        <v>3600</v>
      </c>
      <c r="U60" s="7">
        <f t="shared" si="10"/>
        <v>0.1462403244</v>
      </c>
      <c r="V60" s="7">
        <f t="shared" si="11"/>
        <v>0</v>
      </c>
      <c r="W60" s="13" t="b">
        <f t="shared" si="12"/>
        <v>1</v>
      </c>
      <c r="X60" s="13">
        <f t="shared" si="13"/>
        <v>3600</v>
      </c>
      <c r="Y60" s="7">
        <f t="shared" si="14"/>
        <v>0</v>
      </c>
      <c r="Z60" s="7">
        <f t="shared" si="15"/>
        <v>0.0009777335031</v>
      </c>
      <c r="AA60" s="13" t="b">
        <f t="shared" si="16"/>
        <v>1</v>
      </c>
      <c r="AB60" s="13">
        <f t="shared" si="17"/>
        <v>241.05</v>
      </c>
    </row>
    <row r="61">
      <c r="A61" s="1" t="s">
        <v>66</v>
      </c>
      <c r="B61" s="12">
        <v>9233.0</v>
      </c>
      <c r="C61" s="12">
        <v>19604.0</v>
      </c>
      <c r="D61" s="7">
        <f t="shared" si="1"/>
        <v>1.123253547</v>
      </c>
      <c r="E61" s="12">
        <v>3600.0</v>
      </c>
      <c r="F61" s="9">
        <v>9307.0</v>
      </c>
      <c r="G61" s="9">
        <v>16686.0</v>
      </c>
      <c r="H61" s="7">
        <f t="shared" si="2"/>
        <v>0.7928440958</v>
      </c>
      <c r="I61" s="9">
        <v>3600.0</v>
      </c>
      <c r="J61" s="9">
        <v>9307.0</v>
      </c>
      <c r="K61" s="9">
        <v>9307.0</v>
      </c>
      <c r="L61" s="9">
        <v>48.73</v>
      </c>
      <c r="M61" s="13">
        <f t="shared" si="3"/>
        <v>9307</v>
      </c>
      <c r="N61" s="13">
        <f t="shared" si="4"/>
        <v>16686</v>
      </c>
      <c r="O61" s="7">
        <f t="shared" si="5"/>
        <v>0.7928440958</v>
      </c>
      <c r="Q61" s="7">
        <f t="shared" si="6"/>
        <v>1.123253547</v>
      </c>
      <c r="R61" s="7">
        <f t="shared" si="7"/>
        <v>0.008014729774</v>
      </c>
      <c r="S61" s="13" t="b">
        <f t="shared" si="8"/>
        <v>0</v>
      </c>
      <c r="T61" s="13">
        <f t="shared" si="9"/>
        <v>3600</v>
      </c>
      <c r="U61" s="7">
        <f t="shared" si="10"/>
        <v>0.7928440958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</v>
      </c>
      <c r="AA61" s="13" t="b">
        <f t="shared" si="16"/>
        <v>1</v>
      </c>
      <c r="AB61" s="13">
        <f t="shared" si="17"/>
        <v>48.73</v>
      </c>
    </row>
    <row r="62">
      <c r="A62" s="1" t="s">
        <v>67</v>
      </c>
      <c r="B62" s="12">
        <v>8811.0</v>
      </c>
      <c r="C62" s="12">
        <v>12675.0</v>
      </c>
      <c r="D62" s="7">
        <f t="shared" si="1"/>
        <v>0.4385427307</v>
      </c>
      <c r="E62" s="12">
        <v>3600.0</v>
      </c>
      <c r="F62" s="9">
        <v>10884.0</v>
      </c>
      <c r="G62" s="9">
        <v>12158.0</v>
      </c>
      <c r="H62" s="7">
        <f t="shared" si="2"/>
        <v>0.1170525542</v>
      </c>
      <c r="I62" s="9">
        <v>3600.0</v>
      </c>
      <c r="J62" s="9">
        <v>11163.0</v>
      </c>
      <c r="K62" s="9">
        <v>10909.2</v>
      </c>
      <c r="L62" s="9">
        <v>219.18</v>
      </c>
      <c r="M62" s="13">
        <f t="shared" si="3"/>
        <v>11163</v>
      </c>
      <c r="N62" s="13">
        <f t="shared" si="4"/>
        <v>12158</v>
      </c>
      <c r="O62" s="7">
        <f t="shared" si="5"/>
        <v>0.08913374541</v>
      </c>
      <c r="Q62" s="7">
        <f t="shared" si="6"/>
        <v>0.4385427307</v>
      </c>
      <c r="R62" s="7">
        <f t="shared" si="7"/>
        <v>0.2669390535</v>
      </c>
      <c r="S62" s="13" t="b">
        <f t="shared" si="8"/>
        <v>0</v>
      </c>
      <c r="T62" s="13">
        <f t="shared" si="9"/>
        <v>3600</v>
      </c>
      <c r="U62" s="7">
        <f t="shared" si="10"/>
        <v>0.1170525542</v>
      </c>
      <c r="V62" s="7">
        <f t="shared" si="11"/>
        <v>0.0256339581</v>
      </c>
      <c r="W62" s="13" t="b">
        <f t="shared" si="12"/>
        <v>0</v>
      </c>
      <c r="X62" s="13">
        <f t="shared" si="13"/>
        <v>3600</v>
      </c>
      <c r="Y62" s="7">
        <f t="shared" si="14"/>
        <v>0</v>
      </c>
      <c r="Z62" s="7">
        <f t="shared" si="15"/>
        <v>0.02326476735</v>
      </c>
      <c r="AA62" s="13" t="b">
        <f t="shared" si="16"/>
        <v>1</v>
      </c>
      <c r="AB62" s="13">
        <f t="shared" si="17"/>
        <v>219.18</v>
      </c>
      <c r="AD62" s="7">
        <f t="shared" ref="AD62:AE62" si="21">AVERAGE(Q33:Q62)</f>
        <v>0.286820168</v>
      </c>
      <c r="AE62" s="7">
        <f t="shared" si="21"/>
        <v>0.0486804876</v>
      </c>
      <c r="AF62" s="13">
        <f>COUNTIF(S33:S62, "TRUE")</f>
        <v>12</v>
      </c>
      <c r="AG62" s="13">
        <f>COUNTIF(Q33:Q62,"=0")</f>
        <v>3</v>
      </c>
      <c r="AH62" s="13">
        <f t="shared" ref="AH62:AJ62" si="22">AVERAGE(T33:T62)</f>
        <v>3307.020333</v>
      </c>
      <c r="AI62" s="7">
        <f t="shared" si="22"/>
        <v>0.1008830717</v>
      </c>
      <c r="AJ62" s="7">
        <f t="shared" si="22"/>
        <v>0.001972827012</v>
      </c>
      <c r="AK62" s="13">
        <f>COUNTIF(W33:W62, "TRUE")</f>
        <v>27</v>
      </c>
      <c r="AL62" s="13">
        <f>COUNTIF(U33:U62,"=0")</f>
        <v>13</v>
      </c>
      <c r="AM62" s="13">
        <f t="shared" ref="AM62:AO62" si="23">AVERAGE(X33:X62)</f>
        <v>2382.116333</v>
      </c>
      <c r="AN62" s="7">
        <f t="shared" si="23"/>
        <v>0.000740019915</v>
      </c>
      <c r="AO62" s="7">
        <f t="shared" si="23"/>
        <v>0.002553523913</v>
      </c>
      <c r="AP62" s="13">
        <f>COUNTIF(AA33:AA62, "TRUE")</f>
        <v>27</v>
      </c>
      <c r="AQ62" s="13">
        <f>AVERAGE(AB33:AB62)</f>
        <v>100.087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89.0</v>
      </c>
      <c r="C3" s="12">
        <v>89.0</v>
      </c>
      <c r="D3" s="7">
        <f t="shared" ref="D3:D62" si="1">(C3-B3)/B3</f>
        <v>0</v>
      </c>
      <c r="E3" s="9">
        <v>0.28</v>
      </c>
      <c r="F3" s="9">
        <v>89.0</v>
      </c>
      <c r="G3" s="9">
        <v>89.0</v>
      </c>
      <c r="H3" s="7">
        <f t="shared" ref="H3:H62" si="2">(G3-F3)/F3</f>
        <v>0</v>
      </c>
      <c r="I3" s="9">
        <v>0.04</v>
      </c>
      <c r="J3" s="9">
        <v>89.0</v>
      </c>
      <c r="K3" s="9">
        <v>89.0</v>
      </c>
      <c r="L3" s="9">
        <v>2.92</v>
      </c>
      <c r="M3" s="13">
        <f t="shared" ref="M3:M62" si="3">MAX(B3,F3,J3)</f>
        <v>89</v>
      </c>
      <c r="N3" s="13">
        <f t="shared" ref="N3:N62" si="4">MIN(C3,G3)</f>
        <v>89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0.28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0.04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2.92</v>
      </c>
    </row>
    <row r="4">
      <c r="A4" s="1" t="s">
        <v>9</v>
      </c>
      <c r="B4" s="12">
        <v>82.0</v>
      </c>
      <c r="C4" s="12">
        <v>82.0</v>
      </c>
      <c r="D4" s="7">
        <f t="shared" si="1"/>
        <v>0</v>
      </c>
      <c r="E4" s="9">
        <v>0.23</v>
      </c>
      <c r="F4" s="9">
        <v>82.0</v>
      </c>
      <c r="G4" s="9">
        <v>82.0</v>
      </c>
      <c r="H4" s="7">
        <f t="shared" si="2"/>
        <v>0</v>
      </c>
      <c r="I4" s="9">
        <v>0.13</v>
      </c>
      <c r="J4" s="9">
        <v>82.0</v>
      </c>
      <c r="K4" s="9">
        <v>82.0</v>
      </c>
      <c r="L4" s="9">
        <v>31.4</v>
      </c>
      <c r="M4" s="13">
        <f t="shared" si="3"/>
        <v>82</v>
      </c>
      <c r="N4" s="13">
        <f t="shared" si="4"/>
        <v>82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0.23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0.13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31.4</v>
      </c>
    </row>
    <row r="5">
      <c r="A5" s="1" t="s">
        <v>10</v>
      </c>
      <c r="B5" s="12">
        <v>121.0</v>
      </c>
      <c r="C5" s="12">
        <v>121.0</v>
      </c>
      <c r="D5" s="7">
        <f t="shared" si="1"/>
        <v>0</v>
      </c>
      <c r="E5" s="9">
        <v>0.43</v>
      </c>
      <c r="F5" s="9">
        <v>121.0</v>
      </c>
      <c r="G5" s="9">
        <v>121.0</v>
      </c>
      <c r="H5" s="7">
        <f t="shared" si="2"/>
        <v>0</v>
      </c>
      <c r="I5" s="9">
        <v>0.06</v>
      </c>
      <c r="J5" s="9">
        <v>121.0</v>
      </c>
      <c r="K5" s="9">
        <v>121.0</v>
      </c>
      <c r="L5" s="9">
        <v>0.72</v>
      </c>
      <c r="M5" s="13">
        <f t="shared" si="3"/>
        <v>121</v>
      </c>
      <c r="N5" s="13">
        <f t="shared" si="4"/>
        <v>121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0.43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0.06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0.72</v>
      </c>
    </row>
    <row r="6">
      <c r="A6" s="1" t="s">
        <v>11</v>
      </c>
      <c r="B6" s="12">
        <v>95.0</v>
      </c>
      <c r="C6" s="12">
        <v>95.0</v>
      </c>
      <c r="D6" s="7">
        <f t="shared" si="1"/>
        <v>0</v>
      </c>
      <c r="E6" s="9">
        <v>0.79</v>
      </c>
      <c r="F6" s="9">
        <v>95.0</v>
      </c>
      <c r="G6" s="9">
        <v>95.0</v>
      </c>
      <c r="H6" s="7">
        <f t="shared" si="2"/>
        <v>0</v>
      </c>
      <c r="I6" s="9">
        <v>0.16</v>
      </c>
      <c r="J6" s="9">
        <v>95.0</v>
      </c>
      <c r="K6" s="9">
        <v>95.0</v>
      </c>
      <c r="L6" s="9">
        <v>4.5</v>
      </c>
      <c r="M6" s="13">
        <f t="shared" si="3"/>
        <v>95</v>
      </c>
      <c r="N6" s="13">
        <f t="shared" si="4"/>
        <v>95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0.79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0.16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4.5</v>
      </c>
    </row>
    <row r="7">
      <c r="A7" s="1" t="s">
        <v>12</v>
      </c>
      <c r="B7" s="12">
        <v>145.0</v>
      </c>
      <c r="C7" s="12">
        <v>145.0</v>
      </c>
      <c r="D7" s="7">
        <f t="shared" si="1"/>
        <v>0</v>
      </c>
      <c r="E7" s="9">
        <v>0.76</v>
      </c>
      <c r="F7" s="9">
        <v>145.0</v>
      </c>
      <c r="G7" s="9">
        <v>145.0</v>
      </c>
      <c r="H7" s="7">
        <f t="shared" si="2"/>
        <v>0</v>
      </c>
      <c r="I7" s="9">
        <v>0.14</v>
      </c>
      <c r="J7" s="9">
        <v>145.0</v>
      </c>
      <c r="K7" s="9">
        <v>145.0</v>
      </c>
      <c r="L7" s="9">
        <v>19.73</v>
      </c>
      <c r="M7" s="13">
        <f t="shared" si="3"/>
        <v>145</v>
      </c>
      <c r="N7" s="13">
        <f t="shared" si="4"/>
        <v>145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0.76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0.14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19.73</v>
      </c>
    </row>
    <row r="8">
      <c r="A8" s="1" t="s">
        <v>13</v>
      </c>
      <c r="B8" s="12">
        <v>146.0</v>
      </c>
      <c r="C8" s="12">
        <v>146.0</v>
      </c>
      <c r="D8" s="7">
        <f t="shared" si="1"/>
        <v>0</v>
      </c>
      <c r="E8" s="9">
        <v>4.56</v>
      </c>
      <c r="F8" s="9">
        <v>146.0</v>
      </c>
      <c r="G8" s="9">
        <v>146.0</v>
      </c>
      <c r="H8" s="7">
        <f t="shared" si="2"/>
        <v>0</v>
      </c>
      <c r="I8" s="9">
        <v>0.76</v>
      </c>
      <c r="J8" s="9">
        <v>146.0</v>
      </c>
      <c r="K8" s="9">
        <v>146.0</v>
      </c>
      <c r="L8" s="9">
        <v>6.52</v>
      </c>
      <c r="M8" s="13">
        <f t="shared" si="3"/>
        <v>146</v>
      </c>
      <c r="N8" s="13">
        <f t="shared" si="4"/>
        <v>146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4.56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0.76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6.52</v>
      </c>
    </row>
    <row r="9">
      <c r="A9" s="1" t="s">
        <v>14</v>
      </c>
      <c r="B9" s="12">
        <v>139.0</v>
      </c>
      <c r="C9" s="12">
        <v>139.0</v>
      </c>
      <c r="D9" s="7">
        <f t="shared" si="1"/>
        <v>0</v>
      </c>
      <c r="E9" s="9">
        <v>0.23</v>
      </c>
      <c r="F9" s="9">
        <v>139.0</v>
      </c>
      <c r="G9" s="9">
        <v>139.0</v>
      </c>
      <c r="H9" s="7">
        <f t="shared" si="2"/>
        <v>0</v>
      </c>
      <c r="I9" s="9">
        <v>0.09</v>
      </c>
      <c r="J9" s="9">
        <v>139.0</v>
      </c>
      <c r="K9" s="9">
        <v>139.0</v>
      </c>
      <c r="L9" s="9">
        <v>0.28</v>
      </c>
      <c r="M9" s="13">
        <f t="shared" si="3"/>
        <v>139</v>
      </c>
      <c r="N9" s="13">
        <f t="shared" si="4"/>
        <v>139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0.23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0.09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0.28</v>
      </c>
    </row>
    <row r="10">
      <c r="A10" s="1" t="s">
        <v>15</v>
      </c>
      <c r="B10" s="12">
        <v>153.0</v>
      </c>
      <c r="C10" s="12">
        <v>153.0</v>
      </c>
      <c r="D10" s="7">
        <f t="shared" si="1"/>
        <v>0</v>
      </c>
      <c r="E10" s="9">
        <v>0.79</v>
      </c>
      <c r="F10" s="9">
        <v>153.0</v>
      </c>
      <c r="G10" s="9">
        <v>153.0</v>
      </c>
      <c r="H10" s="7">
        <f t="shared" si="2"/>
        <v>0</v>
      </c>
      <c r="I10" s="9">
        <v>0.11</v>
      </c>
      <c r="J10" s="9">
        <v>153.0</v>
      </c>
      <c r="K10" s="9">
        <v>153.0</v>
      </c>
      <c r="L10" s="9">
        <v>1.2</v>
      </c>
      <c r="M10" s="13">
        <f t="shared" si="3"/>
        <v>153</v>
      </c>
      <c r="N10" s="13">
        <f t="shared" si="4"/>
        <v>153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0.79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0.11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1.2</v>
      </c>
    </row>
    <row r="11">
      <c r="A11" s="1" t="s">
        <v>16</v>
      </c>
      <c r="B11" s="12">
        <v>180.0</v>
      </c>
      <c r="C11" s="12">
        <v>180.0</v>
      </c>
      <c r="D11" s="7">
        <f t="shared" si="1"/>
        <v>0</v>
      </c>
      <c r="E11" s="9">
        <v>4.77</v>
      </c>
      <c r="F11" s="9">
        <v>180.0</v>
      </c>
      <c r="G11" s="9">
        <v>180.0</v>
      </c>
      <c r="H11" s="7">
        <f t="shared" si="2"/>
        <v>0</v>
      </c>
      <c r="I11" s="9">
        <v>0.62</v>
      </c>
      <c r="J11" s="9">
        <v>180.0</v>
      </c>
      <c r="K11" s="9">
        <v>179.7</v>
      </c>
      <c r="L11" s="9">
        <v>15.75</v>
      </c>
      <c r="M11" s="13">
        <f t="shared" si="3"/>
        <v>180</v>
      </c>
      <c r="N11" s="13">
        <f t="shared" si="4"/>
        <v>180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4.77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0.62</v>
      </c>
      <c r="Y11" s="7">
        <f t="shared" si="14"/>
        <v>0</v>
      </c>
      <c r="Z11" s="7">
        <f t="shared" si="15"/>
        <v>0.001669449082</v>
      </c>
      <c r="AA11" s="13" t="b">
        <f t="shared" si="16"/>
        <v>1</v>
      </c>
      <c r="AB11" s="13">
        <f t="shared" si="17"/>
        <v>15.75</v>
      </c>
    </row>
    <row r="12">
      <c r="A12" s="1" t="s">
        <v>17</v>
      </c>
      <c r="B12" s="12">
        <v>179.0</v>
      </c>
      <c r="C12" s="12">
        <v>179.0</v>
      </c>
      <c r="D12" s="7">
        <f t="shared" si="1"/>
        <v>0</v>
      </c>
      <c r="E12" s="9">
        <v>1.68</v>
      </c>
      <c r="F12" s="9">
        <v>179.0</v>
      </c>
      <c r="G12" s="9">
        <v>179.0</v>
      </c>
      <c r="H12" s="7">
        <f t="shared" si="2"/>
        <v>0</v>
      </c>
      <c r="I12" s="9">
        <v>0.49</v>
      </c>
      <c r="J12" s="9">
        <v>179.0</v>
      </c>
      <c r="K12" s="9">
        <v>179.0</v>
      </c>
      <c r="L12" s="9">
        <v>24.35</v>
      </c>
      <c r="M12" s="13">
        <f t="shared" si="3"/>
        <v>179</v>
      </c>
      <c r="N12" s="13">
        <f t="shared" si="4"/>
        <v>179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1.68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0.49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24.35</v>
      </c>
    </row>
    <row r="13">
      <c r="A13" s="1" t="s">
        <v>18</v>
      </c>
      <c r="B13" s="12">
        <v>120.0</v>
      </c>
      <c r="C13" s="12">
        <v>120.0</v>
      </c>
      <c r="D13" s="7">
        <f t="shared" si="1"/>
        <v>0</v>
      </c>
      <c r="E13" s="9">
        <v>1.5</v>
      </c>
      <c r="F13" s="9">
        <v>120.0</v>
      </c>
      <c r="G13" s="9">
        <v>120.0</v>
      </c>
      <c r="H13" s="7">
        <f t="shared" si="2"/>
        <v>0</v>
      </c>
      <c r="I13" s="9">
        <v>0.76</v>
      </c>
      <c r="J13" s="9">
        <v>120.0</v>
      </c>
      <c r="K13" s="9">
        <v>120.0</v>
      </c>
      <c r="L13" s="9">
        <v>1.65</v>
      </c>
      <c r="M13" s="13">
        <f t="shared" si="3"/>
        <v>120</v>
      </c>
      <c r="N13" s="13">
        <f t="shared" si="4"/>
        <v>120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1.5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0.76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1.65</v>
      </c>
    </row>
    <row r="14">
      <c r="A14" s="1" t="s">
        <v>19</v>
      </c>
      <c r="B14" s="12">
        <v>136.0</v>
      </c>
      <c r="C14" s="12">
        <v>136.0</v>
      </c>
      <c r="D14" s="7">
        <f t="shared" si="1"/>
        <v>0</v>
      </c>
      <c r="E14" s="9">
        <v>7.03</v>
      </c>
      <c r="F14" s="9">
        <v>136.0</v>
      </c>
      <c r="G14" s="9">
        <v>136.0</v>
      </c>
      <c r="H14" s="7">
        <f t="shared" si="2"/>
        <v>0</v>
      </c>
      <c r="I14" s="9">
        <v>0.58</v>
      </c>
      <c r="J14" s="9">
        <v>136.0</v>
      </c>
      <c r="K14" s="9">
        <v>136.0</v>
      </c>
      <c r="L14" s="9">
        <v>5.48</v>
      </c>
      <c r="M14" s="13">
        <f t="shared" si="3"/>
        <v>136</v>
      </c>
      <c r="N14" s="13">
        <f t="shared" si="4"/>
        <v>136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7.03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0.58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5.48</v>
      </c>
    </row>
    <row r="15">
      <c r="A15" s="1" t="s">
        <v>20</v>
      </c>
      <c r="B15" s="12">
        <v>185.0</v>
      </c>
      <c r="C15" s="12">
        <v>185.0</v>
      </c>
      <c r="D15" s="7">
        <f t="shared" si="1"/>
        <v>0</v>
      </c>
      <c r="E15" s="9">
        <v>1.63</v>
      </c>
      <c r="F15" s="9">
        <v>185.0</v>
      </c>
      <c r="G15" s="9">
        <v>185.0</v>
      </c>
      <c r="H15" s="7">
        <f t="shared" si="2"/>
        <v>0</v>
      </c>
      <c r="I15" s="9">
        <v>1.09</v>
      </c>
      <c r="J15" s="9">
        <v>185.0</v>
      </c>
      <c r="K15" s="9">
        <v>185.0</v>
      </c>
      <c r="L15" s="9">
        <v>5.18</v>
      </c>
      <c r="M15" s="13">
        <f t="shared" si="3"/>
        <v>185</v>
      </c>
      <c r="N15" s="13">
        <f t="shared" si="4"/>
        <v>185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1.63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1.09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5.18</v>
      </c>
    </row>
    <row r="16">
      <c r="A16" s="1" t="s">
        <v>21</v>
      </c>
      <c r="B16" s="12">
        <v>154.0</v>
      </c>
      <c r="C16" s="12">
        <v>154.0</v>
      </c>
      <c r="D16" s="7">
        <f t="shared" si="1"/>
        <v>0</v>
      </c>
      <c r="E16" s="9">
        <v>13.45</v>
      </c>
      <c r="F16" s="9">
        <v>154.0</v>
      </c>
      <c r="G16" s="9">
        <v>154.0</v>
      </c>
      <c r="H16" s="7">
        <f t="shared" si="2"/>
        <v>0</v>
      </c>
      <c r="I16" s="9">
        <v>2.55</v>
      </c>
      <c r="J16" s="9">
        <v>154.0</v>
      </c>
      <c r="K16" s="9">
        <v>154.0</v>
      </c>
      <c r="L16" s="9">
        <v>2.58</v>
      </c>
      <c r="M16" s="13">
        <f t="shared" si="3"/>
        <v>154</v>
      </c>
      <c r="N16" s="13">
        <f t="shared" si="4"/>
        <v>154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13.45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2.55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2.58</v>
      </c>
    </row>
    <row r="17">
      <c r="A17" s="1" t="s">
        <v>22</v>
      </c>
      <c r="B17" s="12">
        <v>223.0</v>
      </c>
      <c r="C17" s="12">
        <v>223.0</v>
      </c>
      <c r="D17" s="7">
        <f t="shared" si="1"/>
        <v>0</v>
      </c>
      <c r="E17" s="9">
        <v>1.37</v>
      </c>
      <c r="F17" s="9">
        <v>223.0</v>
      </c>
      <c r="G17" s="9">
        <v>223.0</v>
      </c>
      <c r="H17" s="7">
        <f t="shared" si="2"/>
        <v>0</v>
      </c>
      <c r="I17" s="9">
        <v>0.49</v>
      </c>
      <c r="J17" s="9">
        <v>223.0</v>
      </c>
      <c r="K17" s="9">
        <v>223.0</v>
      </c>
      <c r="L17" s="9">
        <v>0.41</v>
      </c>
      <c r="M17" s="13">
        <f t="shared" si="3"/>
        <v>223</v>
      </c>
      <c r="N17" s="13">
        <f t="shared" si="4"/>
        <v>223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1.37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0.49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0.41</v>
      </c>
    </row>
    <row r="18">
      <c r="A18" s="1" t="s">
        <v>23</v>
      </c>
      <c r="B18" s="12">
        <v>198.0</v>
      </c>
      <c r="C18" s="12">
        <v>198.0</v>
      </c>
      <c r="D18" s="7">
        <f t="shared" si="1"/>
        <v>0</v>
      </c>
      <c r="E18" s="9">
        <v>2.15</v>
      </c>
      <c r="F18" s="9">
        <v>198.0</v>
      </c>
      <c r="G18" s="9">
        <v>198.0</v>
      </c>
      <c r="H18" s="7">
        <f t="shared" si="2"/>
        <v>0</v>
      </c>
      <c r="I18" s="9">
        <v>1.92</v>
      </c>
      <c r="J18" s="9">
        <v>198.0</v>
      </c>
      <c r="K18" s="9">
        <v>198.0</v>
      </c>
      <c r="L18" s="9">
        <v>0.35</v>
      </c>
      <c r="M18" s="13">
        <f t="shared" si="3"/>
        <v>198</v>
      </c>
      <c r="N18" s="13">
        <f t="shared" si="4"/>
        <v>198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2.15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1.92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0.35</v>
      </c>
    </row>
    <row r="19">
      <c r="A19" s="1" t="s">
        <v>24</v>
      </c>
      <c r="B19" s="12">
        <v>203.0</v>
      </c>
      <c r="C19" s="12">
        <v>203.0</v>
      </c>
      <c r="D19" s="7">
        <f t="shared" si="1"/>
        <v>0</v>
      </c>
      <c r="E19" s="9">
        <v>3.42</v>
      </c>
      <c r="F19" s="9">
        <v>203.0</v>
      </c>
      <c r="G19" s="9">
        <v>203.0</v>
      </c>
      <c r="H19" s="7">
        <f t="shared" si="2"/>
        <v>0</v>
      </c>
      <c r="I19" s="9">
        <v>1.11</v>
      </c>
      <c r="J19" s="9">
        <v>203.0</v>
      </c>
      <c r="K19" s="9">
        <v>203.0</v>
      </c>
      <c r="L19" s="9">
        <v>5.61</v>
      </c>
      <c r="M19" s="13">
        <f t="shared" si="3"/>
        <v>203</v>
      </c>
      <c r="N19" s="13">
        <f t="shared" si="4"/>
        <v>203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3.42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1.11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5.61</v>
      </c>
    </row>
    <row r="20">
      <c r="A20" s="1" t="s">
        <v>25</v>
      </c>
      <c r="B20" s="12">
        <v>270.0</v>
      </c>
      <c r="C20" s="12">
        <v>270.0</v>
      </c>
      <c r="D20" s="7">
        <f t="shared" si="1"/>
        <v>0</v>
      </c>
      <c r="E20" s="9">
        <v>192.58</v>
      </c>
      <c r="F20" s="9">
        <v>270.0</v>
      </c>
      <c r="G20" s="9">
        <v>270.0</v>
      </c>
      <c r="H20" s="7">
        <f t="shared" si="2"/>
        <v>0</v>
      </c>
      <c r="I20" s="9">
        <v>2.94</v>
      </c>
      <c r="J20" s="9">
        <v>270.0</v>
      </c>
      <c r="K20" s="9">
        <v>270.0</v>
      </c>
      <c r="L20" s="9">
        <v>28.65</v>
      </c>
      <c r="M20" s="13">
        <f t="shared" si="3"/>
        <v>270</v>
      </c>
      <c r="N20" s="13">
        <f t="shared" si="4"/>
        <v>270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192.58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2.94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28.65</v>
      </c>
    </row>
    <row r="21">
      <c r="A21" s="1" t="s">
        <v>26</v>
      </c>
      <c r="B21" s="12">
        <v>230.0</v>
      </c>
      <c r="C21" s="12">
        <v>230.0</v>
      </c>
      <c r="D21" s="7">
        <f t="shared" si="1"/>
        <v>0</v>
      </c>
      <c r="E21" s="9">
        <v>2.82</v>
      </c>
      <c r="F21" s="9">
        <v>230.0</v>
      </c>
      <c r="G21" s="9">
        <v>230.0</v>
      </c>
      <c r="H21" s="7">
        <f t="shared" si="2"/>
        <v>0</v>
      </c>
      <c r="I21" s="9">
        <v>0.9</v>
      </c>
      <c r="J21" s="9">
        <v>230.0</v>
      </c>
      <c r="K21" s="9">
        <v>230.0</v>
      </c>
      <c r="L21" s="9">
        <v>2.8</v>
      </c>
      <c r="M21" s="13">
        <f t="shared" si="3"/>
        <v>230</v>
      </c>
      <c r="N21" s="13">
        <f t="shared" si="4"/>
        <v>230</v>
      </c>
      <c r="O21" s="7">
        <f t="shared" si="5"/>
        <v>0</v>
      </c>
      <c r="Q21" s="7">
        <f t="shared" si="6"/>
        <v>0</v>
      </c>
      <c r="R21" s="7">
        <f t="shared" si="7"/>
        <v>0</v>
      </c>
      <c r="S21" s="13" t="b">
        <f t="shared" si="8"/>
        <v>1</v>
      </c>
      <c r="T21" s="13">
        <f t="shared" si="9"/>
        <v>2.82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0.9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2.8</v>
      </c>
    </row>
    <row r="22">
      <c r="A22" s="1" t="s">
        <v>27</v>
      </c>
      <c r="B22" s="12">
        <v>214.0</v>
      </c>
      <c r="C22" s="12">
        <v>214.0</v>
      </c>
      <c r="D22" s="7">
        <f t="shared" si="1"/>
        <v>0</v>
      </c>
      <c r="E22" s="9">
        <v>17.69</v>
      </c>
      <c r="F22" s="9">
        <v>214.0</v>
      </c>
      <c r="G22" s="9">
        <v>214.0</v>
      </c>
      <c r="H22" s="7">
        <f t="shared" si="2"/>
        <v>0</v>
      </c>
      <c r="I22" s="9">
        <v>3.14</v>
      </c>
      <c r="J22" s="9">
        <v>214.0</v>
      </c>
      <c r="K22" s="9">
        <v>214.0</v>
      </c>
      <c r="L22" s="9">
        <v>7.88</v>
      </c>
      <c r="M22" s="13">
        <f t="shared" si="3"/>
        <v>214</v>
      </c>
      <c r="N22" s="13">
        <f t="shared" si="4"/>
        <v>214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17.69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3.14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7.88</v>
      </c>
    </row>
    <row r="23">
      <c r="A23" s="1" t="s">
        <v>28</v>
      </c>
      <c r="B23" s="12">
        <v>244.0</v>
      </c>
      <c r="C23" s="12">
        <v>244.0</v>
      </c>
      <c r="D23" s="7">
        <f t="shared" si="1"/>
        <v>0</v>
      </c>
      <c r="E23" s="9">
        <v>164.32</v>
      </c>
      <c r="F23" s="9">
        <v>244.0</v>
      </c>
      <c r="G23" s="9">
        <v>244.0</v>
      </c>
      <c r="H23" s="7">
        <f t="shared" si="2"/>
        <v>0</v>
      </c>
      <c r="I23" s="9">
        <v>14.58</v>
      </c>
      <c r="J23" s="9">
        <v>244.0</v>
      </c>
      <c r="K23" s="9">
        <v>244.0</v>
      </c>
      <c r="L23" s="9">
        <v>9.3</v>
      </c>
      <c r="M23" s="13">
        <f t="shared" si="3"/>
        <v>244</v>
      </c>
      <c r="N23" s="13">
        <f t="shared" si="4"/>
        <v>244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164.32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14.58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9.3</v>
      </c>
    </row>
    <row r="24">
      <c r="A24" s="1" t="s">
        <v>29</v>
      </c>
      <c r="B24" s="12">
        <v>296.0</v>
      </c>
      <c r="C24" s="12">
        <v>296.0</v>
      </c>
      <c r="D24" s="7">
        <f t="shared" si="1"/>
        <v>0</v>
      </c>
      <c r="E24" s="9">
        <v>14.89</v>
      </c>
      <c r="F24" s="9">
        <v>296.0</v>
      </c>
      <c r="G24" s="9">
        <v>296.0</v>
      </c>
      <c r="H24" s="7">
        <f t="shared" si="2"/>
        <v>0</v>
      </c>
      <c r="I24" s="9">
        <v>2.56</v>
      </c>
      <c r="J24" s="9">
        <v>296.0</v>
      </c>
      <c r="K24" s="9">
        <v>296.0</v>
      </c>
      <c r="L24" s="9">
        <v>5.17</v>
      </c>
      <c r="M24" s="13">
        <f t="shared" si="3"/>
        <v>296</v>
      </c>
      <c r="N24" s="13">
        <f t="shared" si="4"/>
        <v>296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14.89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2.56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5.17</v>
      </c>
    </row>
    <row r="25">
      <c r="A25" s="1" t="s">
        <v>30</v>
      </c>
      <c r="B25" s="12">
        <v>280.0</v>
      </c>
      <c r="C25" s="12">
        <v>280.0</v>
      </c>
      <c r="D25" s="7">
        <f t="shared" si="1"/>
        <v>0</v>
      </c>
      <c r="E25" s="9">
        <v>1.88</v>
      </c>
      <c r="F25" s="9">
        <v>280.0</v>
      </c>
      <c r="G25" s="9">
        <v>280.0</v>
      </c>
      <c r="H25" s="7">
        <f t="shared" si="2"/>
        <v>0</v>
      </c>
      <c r="I25" s="9">
        <v>0.7</v>
      </c>
      <c r="J25" s="9">
        <v>280.0</v>
      </c>
      <c r="K25" s="9">
        <v>280.0</v>
      </c>
      <c r="L25" s="9">
        <v>1.06</v>
      </c>
      <c r="M25" s="13">
        <f t="shared" si="3"/>
        <v>280</v>
      </c>
      <c r="N25" s="13">
        <f t="shared" si="4"/>
        <v>280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1.88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0.7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1.06</v>
      </c>
    </row>
    <row r="26">
      <c r="A26" s="1" t="s">
        <v>31</v>
      </c>
      <c r="B26" s="12">
        <v>268.0</v>
      </c>
      <c r="C26" s="12">
        <v>268.0</v>
      </c>
      <c r="D26" s="7">
        <f t="shared" si="1"/>
        <v>0</v>
      </c>
      <c r="E26" s="9">
        <v>8.02</v>
      </c>
      <c r="F26" s="9">
        <v>268.0</v>
      </c>
      <c r="G26" s="9">
        <v>268.0</v>
      </c>
      <c r="H26" s="7">
        <f t="shared" si="2"/>
        <v>0</v>
      </c>
      <c r="I26" s="9">
        <v>2.0</v>
      </c>
      <c r="J26" s="9">
        <v>268.0</v>
      </c>
      <c r="K26" s="9">
        <v>268.0</v>
      </c>
      <c r="L26" s="9">
        <v>16.87</v>
      </c>
      <c r="M26" s="13">
        <f t="shared" si="3"/>
        <v>268</v>
      </c>
      <c r="N26" s="13">
        <f t="shared" si="4"/>
        <v>268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8.02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2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16.87</v>
      </c>
    </row>
    <row r="27">
      <c r="A27" s="1" t="s">
        <v>32</v>
      </c>
      <c r="B27" s="12">
        <v>360.0</v>
      </c>
      <c r="C27" s="12">
        <v>361.0</v>
      </c>
      <c r="D27" s="7">
        <f t="shared" si="1"/>
        <v>0.002777777778</v>
      </c>
      <c r="E27" s="9">
        <v>3600.0</v>
      </c>
      <c r="F27" s="9">
        <v>360.0</v>
      </c>
      <c r="G27" s="9">
        <v>360.0</v>
      </c>
      <c r="H27" s="7">
        <f t="shared" si="2"/>
        <v>0</v>
      </c>
      <c r="I27" s="9">
        <v>3.64</v>
      </c>
      <c r="J27" s="9">
        <v>360.0</v>
      </c>
      <c r="K27" s="9">
        <v>360.0</v>
      </c>
      <c r="L27" s="9">
        <v>26.38</v>
      </c>
      <c r="M27" s="13">
        <f t="shared" si="3"/>
        <v>360</v>
      </c>
      <c r="N27" s="13">
        <f t="shared" si="4"/>
        <v>360</v>
      </c>
      <c r="O27" s="7">
        <f t="shared" si="5"/>
        <v>0</v>
      </c>
      <c r="Q27" s="7">
        <f t="shared" si="6"/>
        <v>0.002777777778</v>
      </c>
      <c r="R27" s="7">
        <f t="shared" si="7"/>
        <v>0</v>
      </c>
      <c r="S27" s="13" t="b">
        <f t="shared" si="8"/>
        <v>1</v>
      </c>
      <c r="T27" s="13">
        <f t="shared" si="9"/>
        <v>3600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3.64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26.38</v>
      </c>
    </row>
    <row r="28">
      <c r="A28" s="1" t="s">
        <v>33</v>
      </c>
      <c r="B28" s="12">
        <v>318.0</v>
      </c>
      <c r="C28" s="12">
        <v>329.0</v>
      </c>
      <c r="D28" s="7">
        <f t="shared" si="1"/>
        <v>0.03459119497</v>
      </c>
      <c r="E28" s="9">
        <v>3600.0</v>
      </c>
      <c r="F28" s="9">
        <v>318.0</v>
      </c>
      <c r="G28" s="9">
        <v>318.0</v>
      </c>
      <c r="H28" s="7">
        <f t="shared" si="2"/>
        <v>0</v>
      </c>
      <c r="I28" s="9">
        <v>0.86</v>
      </c>
      <c r="J28" s="9">
        <v>318.0</v>
      </c>
      <c r="K28" s="9">
        <v>318.0</v>
      </c>
      <c r="L28" s="9">
        <v>0.94</v>
      </c>
      <c r="M28" s="13">
        <f t="shared" si="3"/>
        <v>318</v>
      </c>
      <c r="N28" s="13">
        <f t="shared" si="4"/>
        <v>318</v>
      </c>
      <c r="O28" s="7">
        <f t="shared" si="5"/>
        <v>0</v>
      </c>
      <c r="Q28" s="7">
        <f t="shared" si="6"/>
        <v>0.03459119497</v>
      </c>
      <c r="R28" s="7">
        <f t="shared" si="7"/>
        <v>0</v>
      </c>
      <c r="S28" s="13" t="b">
        <f t="shared" si="8"/>
        <v>1</v>
      </c>
      <c r="T28" s="13">
        <f t="shared" si="9"/>
        <v>3600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0.86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0.94</v>
      </c>
    </row>
    <row r="29">
      <c r="A29" s="1" t="s">
        <v>34</v>
      </c>
      <c r="B29" s="12">
        <v>264.0</v>
      </c>
      <c r="C29" s="12">
        <v>264.0</v>
      </c>
      <c r="D29" s="7">
        <f t="shared" si="1"/>
        <v>0</v>
      </c>
      <c r="E29" s="9">
        <v>97.74</v>
      </c>
      <c r="F29" s="9">
        <v>264.0</v>
      </c>
      <c r="G29" s="9">
        <v>264.0</v>
      </c>
      <c r="H29" s="7">
        <f t="shared" si="2"/>
        <v>0</v>
      </c>
      <c r="I29" s="9">
        <v>12.13</v>
      </c>
      <c r="J29" s="9">
        <v>264.0</v>
      </c>
      <c r="K29" s="9">
        <v>264.0</v>
      </c>
      <c r="L29" s="9">
        <v>1.43</v>
      </c>
      <c r="M29" s="13">
        <f t="shared" si="3"/>
        <v>264</v>
      </c>
      <c r="N29" s="13">
        <f t="shared" si="4"/>
        <v>264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97.74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12.13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1.43</v>
      </c>
    </row>
    <row r="30">
      <c r="A30" s="1" t="s">
        <v>35</v>
      </c>
      <c r="B30" s="12">
        <v>312.0</v>
      </c>
      <c r="C30" s="12">
        <v>312.0</v>
      </c>
      <c r="D30" s="7">
        <f t="shared" si="1"/>
        <v>0</v>
      </c>
      <c r="E30" s="9">
        <v>30.88</v>
      </c>
      <c r="F30" s="9">
        <v>312.0</v>
      </c>
      <c r="G30" s="9">
        <v>312.0</v>
      </c>
      <c r="H30" s="7">
        <f t="shared" si="2"/>
        <v>0</v>
      </c>
      <c r="I30" s="9">
        <v>7.91</v>
      </c>
      <c r="J30" s="9">
        <v>312.0</v>
      </c>
      <c r="K30" s="9">
        <v>312.0</v>
      </c>
      <c r="L30" s="9">
        <v>13.59</v>
      </c>
      <c r="M30" s="13">
        <f t="shared" si="3"/>
        <v>312</v>
      </c>
      <c r="N30" s="13">
        <f t="shared" si="4"/>
        <v>312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30.88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7.91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13.59</v>
      </c>
    </row>
    <row r="31">
      <c r="A31" s="1" t="s">
        <v>36</v>
      </c>
      <c r="B31" s="12">
        <v>108.0</v>
      </c>
      <c r="C31" s="12">
        <v>108.0</v>
      </c>
      <c r="D31" s="7">
        <f t="shared" si="1"/>
        <v>0</v>
      </c>
      <c r="E31" s="9">
        <v>9.71</v>
      </c>
      <c r="F31" s="9">
        <v>108.0</v>
      </c>
      <c r="G31" s="9">
        <v>108.0</v>
      </c>
      <c r="H31" s="7">
        <f t="shared" si="2"/>
        <v>0</v>
      </c>
      <c r="I31" s="9">
        <v>1.46</v>
      </c>
      <c r="J31" s="9">
        <v>108.0</v>
      </c>
      <c r="K31" s="9">
        <v>108.0</v>
      </c>
      <c r="L31" s="9">
        <v>7.79</v>
      </c>
      <c r="M31" s="13">
        <f t="shared" si="3"/>
        <v>108</v>
      </c>
      <c r="N31" s="13">
        <f t="shared" si="4"/>
        <v>108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9.71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1.46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7.79</v>
      </c>
    </row>
    <row r="32">
      <c r="A32" s="1" t="s">
        <v>37</v>
      </c>
      <c r="B32" s="12">
        <v>423.0</v>
      </c>
      <c r="C32" s="12">
        <v>423.0</v>
      </c>
      <c r="D32" s="7">
        <f t="shared" si="1"/>
        <v>0</v>
      </c>
      <c r="E32" s="9">
        <v>18.18</v>
      </c>
      <c r="F32" s="9">
        <v>423.0</v>
      </c>
      <c r="G32" s="9">
        <v>423.0</v>
      </c>
      <c r="H32" s="7">
        <f t="shared" si="2"/>
        <v>0</v>
      </c>
      <c r="I32" s="9">
        <v>2.51</v>
      </c>
      <c r="J32" s="9">
        <v>423.0</v>
      </c>
      <c r="K32" s="9">
        <v>423.0</v>
      </c>
      <c r="L32" s="9">
        <v>10.83</v>
      </c>
      <c r="M32" s="13">
        <f t="shared" si="3"/>
        <v>423</v>
      </c>
      <c r="N32" s="13">
        <f t="shared" si="4"/>
        <v>423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18.18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2.51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10.83</v>
      </c>
      <c r="AD32" s="7">
        <f t="shared" ref="AD32:AE32" si="18">AVERAGE(Q3:Q32)</f>
        <v>0.001245632425</v>
      </c>
      <c r="AE32" s="7">
        <f t="shared" si="18"/>
        <v>0</v>
      </c>
      <c r="AF32" s="13">
        <f>COUNTIF(S3:S32, "TRUE")</f>
        <v>30</v>
      </c>
      <c r="AG32" s="13">
        <f>COUNTIF(Q3:Q32,"=0")</f>
        <v>28</v>
      </c>
      <c r="AH32" s="13">
        <f t="shared" ref="AH32:AJ32" si="19">AVERAGE(T3:T32)</f>
        <v>260.126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2.214333333</v>
      </c>
      <c r="AN32" s="7">
        <f t="shared" si="20"/>
        <v>0</v>
      </c>
      <c r="AO32" s="7">
        <f t="shared" si="20"/>
        <v>0.00005564830273</v>
      </c>
      <c r="AP32" s="13">
        <f>COUNTIF(AA3:AA32, "TRUE")</f>
        <v>30</v>
      </c>
      <c r="AQ32" s="13">
        <f>AVERAGE(AB3:AB32)</f>
        <v>8.710666667</v>
      </c>
    </row>
    <row r="33">
      <c r="A33" s="1" t="s">
        <v>38</v>
      </c>
      <c r="B33" s="12">
        <v>962.0</v>
      </c>
      <c r="C33" s="12">
        <v>992.0</v>
      </c>
      <c r="D33" s="7">
        <f t="shared" si="1"/>
        <v>0.03118503119</v>
      </c>
      <c r="E33" s="9">
        <v>3600.0</v>
      </c>
      <c r="F33" s="9">
        <v>962.0</v>
      </c>
      <c r="G33" s="9">
        <v>962.0</v>
      </c>
      <c r="H33" s="7">
        <f t="shared" si="2"/>
        <v>0</v>
      </c>
      <c r="I33" s="9">
        <v>2002.87</v>
      </c>
      <c r="J33" s="9">
        <v>959.0</v>
      </c>
      <c r="K33" s="9">
        <v>956.2</v>
      </c>
      <c r="L33" s="9">
        <v>93.38</v>
      </c>
      <c r="M33" s="13">
        <f t="shared" si="3"/>
        <v>962</v>
      </c>
      <c r="N33" s="13">
        <f t="shared" si="4"/>
        <v>962</v>
      </c>
      <c r="O33" s="7">
        <f t="shared" si="5"/>
        <v>0</v>
      </c>
      <c r="Q33" s="7">
        <f t="shared" si="6"/>
        <v>0.03118503119</v>
      </c>
      <c r="R33" s="7">
        <f t="shared" si="7"/>
        <v>0</v>
      </c>
      <c r="S33" s="13" t="b">
        <f t="shared" si="8"/>
        <v>1</v>
      </c>
      <c r="T33" s="13">
        <f t="shared" si="9"/>
        <v>3600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2002.87</v>
      </c>
      <c r="Y33" s="7">
        <f t="shared" si="14"/>
        <v>0.003128258603</v>
      </c>
      <c r="Z33" s="7">
        <f t="shared" si="15"/>
        <v>0.006065676637</v>
      </c>
      <c r="AA33" s="13" t="b">
        <f t="shared" si="16"/>
        <v>0</v>
      </c>
      <c r="AB33" s="13">
        <f t="shared" si="17"/>
        <v>93.38</v>
      </c>
    </row>
    <row r="34">
      <c r="A34" s="1" t="s">
        <v>39</v>
      </c>
      <c r="B34" s="12">
        <v>1140.0</v>
      </c>
      <c r="C34" s="12">
        <v>1159.0</v>
      </c>
      <c r="D34" s="7">
        <f t="shared" si="1"/>
        <v>0.01666666667</v>
      </c>
      <c r="E34" s="9">
        <v>3600.0</v>
      </c>
      <c r="F34" s="9">
        <v>1141.0</v>
      </c>
      <c r="G34" s="9">
        <v>1142.0</v>
      </c>
      <c r="H34" s="7">
        <f t="shared" si="2"/>
        <v>0.0008764241893</v>
      </c>
      <c r="I34" s="9">
        <v>3600.0</v>
      </c>
      <c r="J34" s="9">
        <v>1141.0</v>
      </c>
      <c r="K34" s="9">
        <v>1141.0</v>
      </c>
      <c r="L34" s="9">
        <v>233.06</v>
      </c>
      <c r="M34" s="13">
        <f t="shared" si="3"/>
        <v>1141</v>
      </c>
      <c r="N34" s="13">
        <f t="shared" si="4"/>
        <v>1142</v>
      </c>
      <c r="O34" s="7">
        <f t="shared" si="5"/>
        <v>0.0008764241893</v>
      </c>
      <c r="Q34" s="7">
        <f t="shared" si="6"/>
        <v>0.01666666667</v>
      </c>
      <c r="R34" s="7">
        <f t="shared" si="7"/>
        <v>0.0008771929825</v>
      </c>
      <c r="S34" s="13" t="b">
        <f t="shared" si="8"/>
        <v>0</v>
      </c>
      <c r="T34" s="13">
        <f t="shared" si="9"/>
        <v>3600</v>
      </c>
      <c r="U34" s="7">
        <f t="shared" si="10"/>
        <v>0.0008764241893</v>
      </c>
      <c r="V34" s="7">
        <f t="shared" si="11"/>
        <v>0</v>
      </c>
      <c r="W34" s="13" t="b">
        <f t="shared" si="12"/>
        <v>1</v>
      </c>
      <c r="X34" s="13">
        <f t="shared" si="13"/>
        <v>3600</v>
      </c>
      <c r="Y34" s="7">
        <f t="shared" si="14"/>
        <v>0</v>
      </c>
      <c r="Z34" s="7">
        <f t="shared" si="15"/>
        <v>0</v>
      </c>
      <c r="AA34" s="13" t="b">
        <f t="shared" si="16"/>
        <v>1</v>
      </c>
      <c r="AB34" s="13">
        <f t="shared" si="17"/>
        <v>233.06</v>
      </c>
    </row>
    <row r="35">
      <c r="A35" s="1" t="s">
        <v>40</v>
      </c>
      <c r="B35" s="12">
        <v>1143.0</v>
      </c>
      <c r="C35" s="12">
        <v>1560.0</v>
      </c>
      <c r="D35" s="7">
        <f t="shared" si="1"/>
        <v>0.3648293963</v>
      </c>
      <c r="E35" s="9">
        <v>3600.0</v>
      </c>
      <c r="F35" s="9">
        <v>1161.0</v>
      </c>
      <c r="G35" s="9">
        <v>1161.0</v>
      </c>
      <c r="H35" s="7">
        <f t="shared" si="2"/>
        <v>0</v>
      </c>
      <c r="I35" s="9">
        <v>911.23</v>
      </c>
      <c r="J35" s="9">
        <v>1161.0</v>
      </c>
      <c r="K35" s="9">
        <v>1161.0</v>
      </c>
      <c r="L35" s="9">
        <v>24.57</v>
      </c>
      <c r="M35" s="13">
        <f t="shared" si="3"/>
        <v>1161</v>
      </c>
      <c r="N35" s="13">
        <f t="shared" si="4"/>
        <v>1161</v>
      </c>
      <c r="O35" s="7">
        <f t="shared" si="5"/>
        <v>0</v>
      </c>
      <c r="Q35" s="7">
        <f t="shared" si="6"/>
        <v>0.3648293963</v>
      </c>
      <c r="R35" s="7">
        <f t="shared" si="7"/>
        <v>0.0157480315</v>
      </c>
      <c r="S35" s="13" t="b">
        <f t="shared" si="8"/>
        <v>0</v>
      </c>
      <c r="T35" s="13">
        <f t="shared" si="9"/>
        <v>3600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911.23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24.57</v>
      </c>
    </row>
    <row r="36">
      <c r="A36" s="1" t="s">
        <v>41</v>
      </c>
      <c r="B36" s="12">
        <v>2198.0</v>
      </c>
      <c r="C36" s="12">
        <v>2216.0</v>
      </c>
      <c r="D36" s="7">
        <f t="shared" si="1"/>
        <v>0.008189262966</v>
      </c>
      <c r="E36" s="9">
        <v>3600.0</v>
      </c>
      <c r="F36" s="9">
        <v>2198.0</v>
      </c>
      <c r="G36" s="9">
        <v>2198.0</v>
      </c>
      <c r="H36" s="7">
        <f t="shared" si="2"/>
        <v>0</v>
      </c>
      <c r="I36" s="9">
        <v>39.56</v>
      </c>
      <c r="J36" s="9">
        <v>2198.0</v>
      </c>
      <c r="K36" s="9">
        <v>2198.0</v>
      </c>
      <c r="L36" s="9">
        <v>26.18</v>
      </c>
      <c r="M36" s="13">
        <f t="shared" si="3"/>
        <v>2198</v>
      </c>
      <c r="N36" s="13">
        <f t="shared" si="4"/>
        <v>2198</v>
      </c>
      <c r="O36" s="7">
        <f t="shared" si="5"/>
        <v>0</v>
      </c>
      <c r="Q36" s="7">
        <f t="shared" si="6"/>
        <v>0.008189262966</v>
      </c>
      <c r="R36" s="7">
        <f t="shared" si="7"/>
        <v>0</v>
      </c>
      <c r="S36" s="13" t="b">
        <f t="shared" si="8"/>
        <v>1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39.56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26.18</v>
      </c>
    </row>
    <row r="37">
      <c r="A37" s="1" t="s">
        <v>42</v>
      </c>
      <c r="B37" s="12">
        <v>2020.0</v>
      </c>
      <c r="C37" s="12">
        <v>2020.0</v>
      </c>
      <c r="D37" s="7">
        <f t="shared" si="1"/>
        <v>0</v>
      </c>
      <c r="E37" s="9">
        <v>214.65</v>
      </c>
      <c r="F37" s="9">
        <v>2020.0</v>
      </c>
      <c r="G37" s="9">
        <v>2020.0</v>
      </c>
      <c r="H37" s="7">
        <f t="shared" si="2"/>
        <v>0</v>
      </c>
      <c r="I37" s="9">
        <v>20.02</v>
      </c>
      <c r="J37" s="9">
        <v>2020.0</v>
      </c>
      <c r="K37" s="9">
        <v>2020.0</v>
      </c>
      <c r="L37" s="9">
        <v>44.97</v>
      </c>
      <c r="M37" s="13">
        <f t="shared" si="3"/>
        <v>2020</v>
      </c>
      <c r="N37" s="13">
        <f t="shared" si="4"/>
        <v>2020</v>
      </c>
      <c r="O37" s="7">
        <f t="shared" si="5"/>
        <v>0</v>
      </c>
      <c r="Q37" s="7">
        <f t="shared" si="6"/>
        <v>0</v>
      </c>
      <c r="R37" s="7">
        <f t="shared" si="7"/>
        <v>0</v>
      </c>
      <c r="S37" s="13" t="b">
        <f t="shared" si="8"/>
        <v>1</v>
      </c>
      <c r="T37" s="13">
        <f t="shared" si="9"/>
        <v>214.65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20.02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44.97</v>
      </c>
    </row>
    <row r="38">
      <c r="A38" s="1" t="s">
        <v>43</v>
      </c>
      <c r="B38" s="12">
        <v>2084.0</v>
      </c>
      <c r="C38" s="12">
        <v>2575.0</v>
      </c>
      <c r="D38" s="7">
        <f t="shared" si="1"/>
        <v>0.2356046065</v>
      </c>
      <c r="E38" s="9">
        <v>3600.0</v>
      </c>
      <c r="F38" s="9">
        <v>2084.0</v>
      </c>
      <c r="G38" s="9">
        <v>2231.0</v>
      </c>
      <c r="H38" s="7">
        <f t="shared" si="2"/>
        <v>0.07053742802</v>
      </c>
      <c r="I38" s="9">
        <v>3600.0</v>
      </c>
      <c r="J38" s="9">
        <v>2084.0</v>
      </c>
      <c r="K38" s="9">
        <v>2084.0</v>
      </c>
      <c r="L38" s="9">
        <v>57.21</v>
      </c>
      <c r="M38" s="13">
        <f t="shared" si="3"/>
        <v>2084</v>
      </c>
      <c r="N38" s="13">
        <f t="shared" si="4"/>
        <v>2231</v>
      </c>
      <c r="O38" s="7">
        <f t="shared" si="5"/>
        <v>0.07053742802</v>
      </c>
      <c r="Q38" s="7">
        <f t="shared" si="6"/>
        <v>0.2356046065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0.07053742802</v>
      </c>
      <c r="V38" s="7">
        <f t="shared" si="11"/>
        <v>0</v>
      </c>
      <c r="W38" s="13" t="b">
        <f t="shared" si="12"/>
        <v>1</v>
      </c>
      <c r="X38" s="13">
        <f t="shared" si="13"/>
        <v>3600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57.21</v>
      </c>
    </row>
    <row r="39">
      <c r="A39" s="1" t="s">
        <v>44</v>
      </c>
      <c r="B39" s="12">
        <v>2513.0</v>
      </c>
      <c r="C39" s="12">
        <v>2679.0</v>
      </c>
      <c r="D39" s="7">
        <f t="shared" si="1"/>
        <v>0.06605650617</v>
      </c>
      <c r="E39" s="9">
        <v>3600.0</v>
      </c>
      <c r="F39" s="9">
        <v>2512.0</v>
      </c>
      <c r="G39" s="9">
        <v>2653.0</v>
      </c>
      <c r="H39" s="7">
        <f t="shared" si="2"/>
        <v>0.05613057325</v>
      </c>
      <c r="I39" s="9">
        <v>3600.0</v>
      </c>
      <c r="J39" s="9">
        <v>2513.0</v>
      </c>
      <c r="K39" s="9">
        <v>2513.0</v>
      </c>
      <c r="L39" s="9">
        <v>104.63</v>
      </c>
      <c r="M39" s="13">
        <f t="shared" si="3"/>
        <v>2513</v>
      </c>
      <c r="N39" s="13">
        <f t="shared" si="4"/>
        <v>2653</v>
      </c>
      <c r="O39" s="7">
        <f t="shared" si="5"/>
        <v>0.05571030641</v>
      </c>
      <c r="Q39" s="7">
        <f t="shared" si="6"/>
        <v>0.06605650617</v>
      </c>
      <c r="R39" s="7">
        <f t="shared" si="7"/>
        <v>0</v>
      </c>
      <c r="S39" s="13" t="b">
        <f t="shared" si="8"/>
        <v>1</v>
      </c>
      <c r="T39" s="13">
        <f t="shared" si="9"/>
        <v>3600</v>
      </c>
      <c r="U39" s="7">
        <f t="shared" si="10"/>
        <v>0.05613057325</v>
      </c>
      <c r="V39" s="7">
        <f t="shared" si="11"/>
        <v>0.000398089172</v>
      </c>
      <c r="W39" s="13" t="b">
        <f t="shared" si="12"/>
        <v>0</v>
      </c>
      <c r="X39" s="13">
        <f t="shared" si="13"/>
        <v>3600</v>
      </c>
      <c r="Y39" s="7">
        <f t="shared" si="14"/>
        <v>0</v>
      </c>
      <c r="Z39" s="7">
        <f t="shared" si="15"/>
        <v>0</v>
      </c>
      <c r="AA39" s="13" t="b">
        <f t="shared" si="16"/>
        <v>1</v>
      </c>
      <c r="AB39" s="13">
        <f t="shared" si="17"/>
        <v>104.63</v>
      </c>
    </row>
    <row r="40">
      <c r="A40" s="1" t="s">
        <v>45</v>
      </c>
      <c r="B40" s="12">
        <v>3108.0</v>
      </c>
      <c r="C40" s="12">
        <v>3129.0</v>
      </c>
      <c r="D40" s="7">
        <f t="shared" si="1"/>
        <v>0.006756756757</v>
      </c>
      <c r="E40" s="9">
        <v>3600.0</v>
      </c>
      <c r="F40" s="9">
        <v>3108.0</v>
      </c>
      <c r="G40" s="9">
        <v>3108.0</v>
      </c>
      <c r="H40" s="7">
        <f t="shared" si="2"/>
        <v>0</v>
      </c>
      <c r="I40" s="9">
        <v>39.63</v>
      </c>
      <c r="J40" s="9">
        <v>3108.0</v>
      </c>
      <c r="K40" s="9">
        <v>3108.0</v>
      </c>
      <c r="L40" s="9">
        <v>15.34</v>
      </c>
      <c r="M40" s="13">
        <f t="shared" si="3"/>
        <v>3108</v>
      </c>
      <c r="N40" s="13">
        <f t="shared" si="4"/>
        <v>3108</v>
      </c>
      <c r="O40" s="7">
        <f t="shared" si="5"/>
        <v>0</v>
      </c>
      <c r="Q40" s="7">
        <f t="shared" si="6"/>
        <v>0.006756756757</v>
      </c>
      <c r="R40" s="7">
        <f t="shared" si="7"/>
        <v>0</v>
      </c>
      <c r="S40" s="13" t="b">
        <f t="shared" si="8"/>
        <v>1</v>
      </c>
      <c r="T40" s="13">
        <f t="shared" si="9"/>
        <v>3600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39.63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15.34</v>
      </c>
    </row>
    <row r="41">
      <c r="A41" s="1" t="s">
        <v>46</v>
      </c>
      <c r="B41" s="12">
        <v>2577.0</v>
      </c>
      <c r="C41" s="12">
        <v>2721.0</v>
      </c>
      <c r="D41" s="7">
        <f t="shared" si="1"/>
        <v>0.05587892899</v>
      </c>
      <c r="E41" s="9">
        <v>3599.4</v>
      </c>
      <c r="F41" s="9">
        <v>2577.0</v>
      </c>
      <c r="G41" s="9">
        <v>2647.0</v>
      </c>
      <c r="H41" s="7">
        <f t="shared" si="2"/>
        <v>0.02716336826</v>
      </c>
      <c r="I41" s="9">
        <v>3600.0</v>
      </c>
      <c r="J41" s="9">
        <v>2577.0</v>
      </c>
      <c r="K41" s="9">
        <v>2577.0</v>
      </c>
      <c r="L41" s="9">
        <v>20.79</v>
      </c>
      <c r="M41" s="13">
        <f t="shared" si="3"/>
        <v>2577</v>
      </c>
      <c r="N41" s="13">
        <f t="shared" si="4"/>
        <v>2647</v>
      </c>
      <c r="O41" s="7">
        <f t="shared" si="5"/>
        <v>0.02716336826</v>
      </c>
      <c r="Q41" s="7">
        <f t="shared" si="6"/>
        <v>0.05587892899</v>
      </c>
      <c r="R41" s="7">
        <f t="shared" si="7"/>
        <v>0</v>
      </c>
      <c r="S41" s="13" t="b">
        <f t="shared" si="8"/>
        <v>1</v>
      </c>
      <c r="T41" s="13">
        <f t="shared" si="9"/>
        <v>3599.4</v>
      </c>
      <c r="U41" s="7">
        <f t="shared" si="10"/>
        <v>0.02716336826</v>
      </c>
      <c r="V41" s="7">
        <f t="shared" si="11"/>
        <v>0</v>
      </c>
      <c r="W41" s="13" t="b">
        <f t="shared" si="12"/>
        <v>1</v>
      </c>
      <c r="X41" s="13">
        <f t="shared" si="13"/>
        <v>3600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20.79</v>
      </c>
    </row>
    <row r="42">
      <c r="A42" s="1" t="s">
        <v>47</v>
      </c>
      <c r="B42" s="12">
        <v>3396.0</v>
      </c>
      <c r="C42" s="12">
        <v>3558.0</v>
      </c>
      <c r="D42" s="7">
        <f t="shared" si="1"/>
        <v>0.04770318021</v>
      </c>
      <c r="E42" s="9">
        <v>3600.0</v>
      </c>
      <c r="F42" s="9">
        <v>3520.0</v>
      </c>
      <c r="G42" s="9">
        <v>3521.0</v>
      </c>
      <c r="H42" s="7">
        <f t="shared" si="2"/>
        <v>0.0002840909091</v>
      </c>
      <c r="I42" s="9">
        <v>3600.0</v>
      </c>
      <c r="J42" s="9">
        <v>3520.0</v>
      </c>
      <c r="K42" s="9">
        <v>3520.0</v>
      </c>
      <c r="L42" s="9">
        <v>125.6</v>
      </c>
      <c r="M42" s="13">
        <f t="shared" si="3"/>
        <v>3520</v>
      </c>
      <c r="N42" s="13">
        <f t="shared" si="4"/>
        <v>3521</v>
      </c>
      <c r="O42" s="7">
        <f t="shared" si="5"/>
        <v>0.0002840909091</v>
      </c>
      <c r="Q42" s="7">
        <f t="shared" si="6"/>
        <v>0.04770318021</v>
      </c>
      <c r="R42" s="7">
        <f t="shared" si="7"/>
        <v>0.03651354535</v>
      </c>
      <c r="S42" s="13" t="b">
        <f t="shared" si="8"/>
        <v>0</v>
      </c>
      <c r="T42" s="13">
        <f t="shared" si="9"/>
        <v>3600</v>
      </c>
      <c r="U42" s="7">
        <f t="shared" si="10"/>
        <v>0.0002840909091</v>
      </c>
      <c r="V42" s="7">
        <f t="shared" si="11"/>
        <v>0</v>
      </c>
      <c r="W42" s="13" t="b">
        <f t="shared" si="12"/>
        <v>1</v>
      </c>
      <c r="X42" s="13">
        <f t="shared" si="13"/>
        <v>3600</v>
      </c>
      <c r="Y42" s="7">
        <f t="shared" si="14"/>
        <v>0</v>
      </c>
      <c r="Z42" s="7">
        <f t="shared" si="15"/>
        <v>0</v>
      </c>
      <c r="AA42" s="13" t="b">
        <f t="shared" si="16"/>
        <v>1</v>
      </c>
      <c r="AB42" s="13">
        <f t="shared" si="17"/>
        <v>125.6</v>
      </c>
    </row>
    <row r="43">
      <c r="A43" s="1" t="s">
        <v>48</v>
      </c>
      <c r="B43" s="12">
        <v>4059.0</v>
      </c>
      <c r="C43" s="12">
        <v>4454.0</v>
      </c>
      <c r="D43" s="7">
        <f t="shared" si="1"/>
        <v>0.09731460951</v>
      </c>
      <c r="E43" s="9">
        <v>3600.0</v>
      </c>
      <c r="F43" s="9">
        <v>4415.0</v>
      </c>
      <c r="G43" s="9">
        <v>4415.0</v>
      </c>
      <c r="H43" s="7">
        <f t="shared" si="2"/>
        <v>0</v>
      </c>
      <c r="I43" s="9">
        <v>252.88</v>
      </c>
      <c r="J43" s="9">
        <v>4415.0</v>
      </c>
      <c r="K43" s="9">
        <v>4415.0</v>
      </c>
      <c r="L43" s="9">
        <v>104.69</v>
      </c>
      <c r="M43" s="13">
        <f t="shared" si="3"/>
        <v>4415</v>
      </c>
      <c r="N43" s="13">
        <f t="shared" si="4"/>
        <v>4415</v>
      </c>
      <c r="O43" s="7">
        <f t="shared" si="5"/>
        <v>0</v>
      </c>
      <c r="Q43" s="7">
        <f t="shared" si="6"/>
        <v>0.09731460951</v>
      </c>
      <c r="R43" s="7">
        <f t="shared" si="7"/>
        <v>0.08770633161</v>
      </c>
      <c r="S43" s="13" t="b">
        <f t="shared" si="8"/>
        <v>0</v>
      </c>
      <c r="T43" s="13">
        <f t="shared" si="9"/>
        <v>3600</v>
      </c>
      <c r="U43" s="7">
        <f t="shared" si="10"/>
        <v>0</v>
      </c>
      <c r="V43" s="7">
        <f t="shared" si="11"/>
        <v>0</v>
      </c>
      <c r="W43" s="13" t="b">
        <f t="shared" si="12"/>
        <v>1</v>
      </c>
      <c r="X43" s="13">
        <f t="shared" si="13"/>
        <v>252.88</v>
      </c>
      <c r="Y43" s="7">
        <f t="shared" si="14"/>
        <v>0</v>
      </c>
      <c r="Z43" s="7">
        <f t="shared" si="15"/>
        <v>0</v>
      </c>
      <c r="AA43" s="13" t="b">
        <f t="shared" si="16"/>
        <v>1</v>
      </c>
      <c r="AB43" s="13">
        <f t="shared" si="17"/>
        <v>104.69</v>
      </c>
    </row>
    <row r="44">
      <c r="A44" s="1" t="s">
        <v>49</v>
      </c>
      <c r="B44" s="12">
        <v>4257.0</v>
      </c>
      <c r="C44" s="12">
        <v>4257.0</v>
      </c>
      <c r="D44" s="7">
        <f t="shared" si="1"/>
        <v>0</v>
      </c>
      <c r="E44" s="9">
        <v>1572.15</v>
      </c>
      <c r="F44" s="9">
        <v>4257.0</v>
      </c>
      <c r="G44" s="9">
        <v>4257.0</v>
      </c>
      <c r="H44" s="7">
        <f t="shared" si="2"/>
        <v>0</v>
      </c>
      <c r="I44" s="9">
        <v>44.34</v>
      </c>
      <c r="J44" s="9">
        <v>4257.0</v>
      </c>
      <c r="K44" s="9">
        <v>4254.7</v>
      </c>
      <c r="L44" s="9">
        <v>131.75</v>
      </c>
      <c r="M44" s="13">
        <f t="shared" si="3"/>
        <v>4257</v>
      </c>
      <c r="N44" s="13">
        <f t="shared" si="4"/>
        <v>4257</v>
      </c>
      <c r="O44" s="7">
        <f t="shared" si="5"/>
        <v>0</v>
      </c>
      <c r="Q44" s="7">
        <f t="shared" si="6"/>
        <v>0</v>
      </c>
      <c r="R44" s="7">
        <f t="shared" si="7"/>
        <v>0</v>
      </c>
      <c r="S44" s="13" t="b">
        <f t="shared" si="8"/>
        <v>1</v>
      </c>
      <c r="T44" s="13">
        <f t="shared" si="9"/>
        <v>1572.15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44.34</v>
      </c>
      <c r="Y44" s="7">
        <f t="shared" si="14"/>
        <v>0</v>
      </c>
      <c r="Z44" s="7">
        <f t="shared" si="15"/>
        <v>0.0005405786542</v>
      </c>
      <c r="AA44" s="13" t="b">
        <f t="shared" si="16"/>
        <v>1</v>
      </c>
      <c r="AB44" s="13">
        <f t="shared" si="17"/>
        <v>131.75</v>
      </c>
    </row>
    <row r="45">
      <c r="A45" s="1" t="s">
        <v>50</v>
      </c>
      <c r="B45" s="12">
        <v>4781.0</v>
      </c>
      <c r="C45" s="12">
        <v>5031.0</v>
      </c>
      <c r="D45" s="7">
        <f t="shared" si="1"/>
        <v>0.05229031583</v>
      </c>
      <c r="E45" s="9">
        <v>3600.0</v>
      </c>
      <c r="F45" s="9">
        <v>4997.0</v>
      </c>
      <c r="G45" s="9">
        <v>4997.0</v>
      </c>
      <c r="H45" s="7">
        <f t="shared" si="2"/>
        <v>0</v>
      </c>
      <c r="I45" s="9">
        <v>616.61</v>
      </c>
      <c r="J45" s="9">
        <v>4997.0</v>
      </c>
      <c r="K45" s="9">
        <v>4997.0</v>
      </c>
      <c r="L45" s="9">
        <v>395.23</v>
      </c>
      <c r="M45" s="13">
        <f t="shared" si="3"/>
        <v>4997</v>
      </c>
      <c r="N45" s="13">
        <f t="shared" si="4"/>
        <v>4997</v>
      </c>
      <c r="O45" s="7">
        <f t="shared" si="5"/>
        <v>0</v>
      </c>
      <c r="Q45" s="7">
        <f t="shared" si="6"/>
        <v>0.05229031583</v>
      </c>
      <c r="R45" s="7">
        <f t="shared" si="7"/>
        <v>0.04517883288</v>
      </c>
      <c r="S45" s="13" t="b">
        <f t="shared" si="8"/>
        <v>0</v>
      </c>
      <c r="T45" s="13">
        <f t="shared" si="9"/>
        <v>3600</v>
      </c>
      <c r="U45" s="7">
        <f t="shared" si="10"/>
        <v>0</v>
      </c>
      <c r="V45" s="7">
        <f t="shared" si="11"/>
        <v>0</v>
      </c>
      <c r="W45" s="13" t="b">
        <f t="shared" si="12"/>
        <v>1</v>
      </c>
      <c r="X45" s="13">
        <f t="shared" si="13"/>
        <v>616.61</v>
      </c>
      <c r="Y45" s="7">
        <f t="shared" si="14"/>
        <v>0</v>
      </c>
      <c r="Z45" s="7">
        <f t="shared" si="15"/>
        <v>0</v>
      </c>
      <c r="AA45" s="13" t="b">
        <f t="shared" si="16"/>
        <v>1</v>
      </c>
      <c r="AB45" s="13">
        <f t="shared" si="17"/>
        <v>395.23</v>
      </c>
    </row>
    <row r="46">
      <c r="A46" s="1" t="s">
        <v>51</v>
      </c>
      <c r="B46" s="12">
        <v>3275.0</v>
      </c>
      <c r="C46" s="12">
        <v>4559.0</v>
      </c>
      <c r="D46" s="7">
        <f t="shared" si="1"/>
        <v>0.3920610687</v>
      </c>
      <c r="E46" s="9">
        <v>3600.0</v>
      </c>
      <c r="F46" s="9">
        <v>3322.0</v>
      </c>
      <c r="G46" s="9">
        <v>3454.0</v>
      </c>
      <c r="H46" s="7">
        <f t="shared" si="2"/>
        <v>0.03973509934</v>
      </c>
      <c r="I46" s="9">
        <v>3600.0</v>
      </c>
      <c r="J46" s="9">
        <v>3322.0</v>
      </c>
      <c r="K46" s="9">
        <v>3319.7</v>
      </c>
      <c r="L46" s="9">
        <v>83.81</v>
      </c>
      <c r="M46" s="13">
        <f t="shared" si="3"/>
        <v>3322</v>
      </c>
      <c r="N46" s="13">
        <f t="shared" si="4"/>
        <v>3454</v>
      </c>
      <c r="O46" s="7">
        <f t="shared" si="5"/>
        <v>0.03973509934</v>
      </c>
      <c r="Q46" s="7">
        <f t="shared" si="6"/>
        <v>0.3920610687</v>
      </c>
      <c r="R46" s="7">
        <f t="shared" si="7"/>
        <v>0.01435114504</v>
      </c>
      <c r="S46" s="13" t="b">
        <f t="shared" si="8"/>
        <v>0</v>
      </c>
      <c r="T46" s="13">
        <f t="shared" si="9"/>
        <v>3600</v>
      </c>
      <c r="U46" s="7">
        <f t="shared" si="10"/>
        <v>0.03973509934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0.0006928336898</v>
      </c>
      <c r="AA46" s="13" t="b">
        <f t="shared" si="16"/>
        <v>1</v>
      </c>
      <c r="AB46" s="13">
        <f t="shared" si="17"/>
        <v>83.81</v>
      </c>
    </row>
    <row r="47">
      <c r="A47" s="1" t="s">
        <v>52</v>
      </c>
      <c r="B47" s="12">
        <v>4526.0</v>
      </c>
      <c r="C47" s="12">
        <v>4870.0</v>
      </c>
      <c r="D47" s="7">
        <f t="shared" si="1"/>
        <v>0.0760053027</v>
      </c>
      <c r="E47" s="9">
        <v>3600.0</v>
      </c>
      <c r="F47" s="9">
        <v>4573.0</v>
      </c>
      <c r="G47" s="9">
        <v>4579.0</v>
      </c>
      <c r="H47" s="7">
        <f t="shared" si="2"/>
        <v>0.001312048983</v>
      </c>
      <c r="I47" s="9">
        <v>3600.0</v>
      </c>
      <c r="J47" s="9">
        <v>4573.0</v>
      </c>
      <c r="K47" s="9">
        <v>4571.5</v>
      </c>
      <c r="L47" s="9">
        <v>162.36</v>
      </c>
      <c r="M47" s="13">
        <f t="shared" si="3"/>
        <v>4573</v>
      </c>
      <c r="N47" s="13">
        <f t="shared" si="4"/>
        <v>4579</v>
      </c>
      <c r="O47" s="7">
        <f t="shared" si="5"/>
        <v>0.001312048983</v>
      </c>
      <c r="Q47" s="7">
        <f t="shared" si="6"/>
        <v>0.0760053027</v>
      </c>
      <c r="R47" s="7">
        <f t="shared" si="7"/>
        <v>0.01038444543</v>
      </c>
      <c r="S47" s="13" t="b">
        <f t="shared" si="8"/>
        <v>0</v>
      </c>
      <c r="T47" s="13">
        <f t="shared" si="9"/>
        <v>3600</v>
      </c>
      <c r="U47" s="7">
        <f t="shared" si="10"/>
        <v>0.001312048983</v>
      </c>
      <c r="V47" s="7">
        <f t="shared" si="11"/>
        <v>0</v>
      </c>
      <c r="W47" s="13" t="b">
        <f t="shared" si="12"/>
        <v>1</v>
      </c>
      <c r="X47" s="13">
        <f t="shared" si="13"/>
        <v>3600</v>
      </c>
      <c r="Y47" s="7">
        <f t="shared" si="14"/>
        <v>0</v>
      </c>
      <c r="Z47" s="7">
        <f t="shared" si="15"/>
        <v>0.0003281198731</v>
      </c>
      <c r="AA47" s="13" t="b">
        <f t="shared" si="16"/>
        <v>1</v>
      </c>
      <c r="AB47" s="13">
        <f t="shared" si="17"/>
        <v>162.36</v>
      </c>
    </row>
    <row r="48">
      <c r="A48" s="1" t="s">
        <v>53</v>
      </c>
      <c r="B48" s="12">
        <v>5113.0</v>
      </c>
      <c r="C48" s="12">
        <v>6160.0</v>
      </c>
      <c r="D48" s="7">
        <f t="shared" si="1"/>
        <v>0.2047721494</v>
      </c>
      <c r="E48" s="9">
        <v>3600.0</v>
      </c>
      <c r="F48" s="9">
        <v>5948.0</v>
      </c>
      <c r="G48" s="9">
        <v>6067.0</v>
      </c>
      <c r="H48" s="7">
        <f t="shared" si="2"/>
        <v>0.02000672495</v>
      </c>
      <c r="I48" s="9">
        <v>3600.0</v>
      </c>
      <c r="J48" s="9">
        <v>5948.0</v>
      </c>
      <c r="K48" s="9">
        <v>5945.0</v>
      </c>
      <c r="L48" s="9">
        <v>221.97</v>
      </c>
      <c r="M48" s="13">
        <f t="shared" si="3"/>
        <v>5948</v>
      </c>
      <c r="N48" s="13">
        <f t="shared" si="4"/>
        <v>6067</v>
      </c>
      <c r="O48" s="7">
        <f t="shared" si="5"/>
        <v>0.02000672495</v>
      </c>
      <c r="Q48" s="7">
        <f t="shared" si="6"/>
        <v>0.2047721494</v>
      </c>
      <c r="R48" s="7">
        <f t="shared" si="7"/>
        <v>0.1633092118</v>
      </c>
      <c r="S48" s="13" t="b">
        <f t="shared" si="8"/>
        <v>0</v>
      </c>
      <c r="T48" s="13">
        <f t="shared" si="9"/>
        <v>3600</v>
      </c>
      <c r="U48" s="7">
        <f t="shared" si="10"/>
        <v>0.02000672495</v>
      </c>
      <c r="V48" s="7">
        <f t="shared" si="11"/>
        <v>0</v>
      </c>
      <c r="W48" s="13" t="b">
        <f t="shared" si="12"/>
        <v>1</v>
      </c>
      <c r="X48" s="13">
        <f t="shared" si="13"/>
        <v>3600</v>
      </c>
      <c r="Y48" s="7">
        <f t="shared" si="14"/>
        <v>0</v>
      </c>
      <c r="Z48" s="7">
        <f t="shared" si="15"/>
        <v>0.0005046257359</v>
      </c>
      <c r="AA48" s="13" t="b">
        <f t="shared" si="16"/>
        <v>1</v>
      </c>
      <c r="AB48" s="13">
        <f t="shared" si="17"/>
        <v>221.97</v>
      </c>
    </row>
    <row r="49">
      <c r="A49" s="1" t="s">
        <v>54</v>
      </c>
      <c r="B49" s="12">
        <v>6849.0</v>
      </c>
      <c r="C49" s="12">
        <v>6904.0</v>
      </c>
      <c r="D49" s="7">
        <f t="shared" si="1"/>
        <v>0.008030369397</v>
      </c>
      <c r="E49" s="9">
        <v>3600.0</v>
      </c>
      <c r="F49" s="9">
        <v>6868.0</v>
      </c>
      <c r="G49" s="9">
        <v>6899.0</v>
      </c>
      <c r="H49" s="7">
        <f t="shared" si="2"/>
        <v>0.004513686663</v>
      </c>
      <c r="I49" s="9">
        <v>3600.0</v>
      </c>
      <c r="J49" s="9">
        <v>6868.0</v>
      </c>
      <c r="K49" s="9">
        <v>6867.0</v>
      </c>
      <c r="L49" s="9">
        <v>365.43</v>
      </c>
      <c r="M49" s="13">
        <f t="shared" si="3"/>
        <v>6868</v>
      </c>
      <c r="N49" s="13">
        <f t="shared" si="4"/>
        <v>6899</v>
      </c>
      <c r="O49" s="7">
        <f t="shared" si="5"/>
        <v>0.004513686663</v>
      </c>
      <c r="Q49" s="7">
        <f t="shared" si="6"/>
        <v>0.008030369397</v>
      </c>
      <c r="R49" s="7">
        <f t="shared" si="7"/>
        <v>0.00277412761</v>
      </c>
      <c r="S49" s="13" t="b">
        <f t="shared" si="8"/>
        <v>0</v>
      </c>
      <c r="T49" s="13">
        <f t="shared" si="9"/>
        <v>3600</v>
      </c>
      <c r="U49" s="7">
        <f t="shared" si="10"/>
        <v>0.004513686663</v>
      </c>
      <c r="V49" s="7">
        <f t="shared" si="11"/>
        <v>0</v>
      </c>
      <c r="W49" s="13" t="b">
        <f t="shared" si="12"/>
        <v>1</v>
      </c>
      <c r="X49" s="13">
        <f t="shared" si="13"/>
        <v>3600</v>
      </c>
      <c r="Y49" s="7">
        <f t="shared" si="14"/>
        <v>0</v>
      </c>
      <c r="Z49" s="7">
        <f t="shared" si="15"/>
        <v>0.0001456239988</v>
      </c>
      <c r="AA49" s="13" t="b">
        <f t="shared" si="16"/>
        <v>1</v>
      </c>
      <c r="AB49" s="13">
        <f t="shared" si="17"/>
        <v>365.43</v>
      </c>
    </row>
    <row r="50">
      <c r="A50" s="1" t="s">
        <v>55</v>
      </c>
      <c r="B50" s="12">
        <v>4575.0</v>
      </c>
      <c r="C50" s="12">
        <v>7380.0</v>
      </c>
      <c r="D50" s="7">
        <f t="shared" si="1"/>
        <v>0.6131147541</v>
      </c>
      <c r="E50" s="9">
        <v>3600.0</v>
      </c>
      <c r="F50" s="9">
        <v>5551.0</v>
      </c>
      <c r="G50" s="9">
        <v>6472.0</v>
      </c>
      <c r="H50" s="7">
        <f t="shared" si="2"/>
        <v>0.1659160512</v>
      </c>
      <c r="I50" s="9">
        <v>3600.0</v>
      </c>
      <c r="J50" s="9">
        <v>5551.0</v>
      </c>
      <c r="K50" s="9">
        <v>5545.5</v>
      </c>
      <c r="L50" s="9">
        <v>146.6</v>
      </c>
      <c r="M50" s="13">
        <f t="shared" si="3"/>
        <v>5551</v>
      </c>
      <c r="N50" s="13">
        <f t="shared" si="4"/>
        <v>6472</v>
      </c>
      <c r="O50" s="7">
        <f t="shared" si="5"/>
        <v>0.1659160512</v>
      </c>
      <c r="Q50" s="7">
        <f t="shared" si="6"/>
        <v>0.6131147541</v>
      </c>
      <c r="R50" s="7">
        <f t="shared" si="7"/>
        <v>0.2133333333</v>
      </c>
      <c r="S50" s="13" t="b">
        <f t="shared" si="8"/>
        <v>0</v>
      </c>
      <c r="T50" s="13">
        <f t="shared" si="9"/>
        <v>3600</v>
      </c>
      <c r="U50" s="7">
        <f t="shared" si="10"/>
        <v>0.1659160512</v>
      </c>
      <c r="V50" s="7">
        <f t="shared" si="11"/>
        <v>0</v>
      </c>
      <c r="W50" s="13" t="b">
        <f t="shared" si="12"/>
        <v>1</v>
      </c>
      <c r="X50" s="13">
        <f t="shared" si="13"/>
        <v>3600</v>
      </c>
      <c r="Y50" s="7">
        <f t="shared" si="14"/>
        <v>0</v>
      </c>
      <c r="Z50" s="7">
        <f t="shared" si="15"/>
        <v>0.0009917951492</v>
      </c>
      <c r="AA50" s="13" t="b">
        <f t="shared" si="16"/>
        <v>1</v>
      </c>
      <c r="AB50" s="13">
        <f t="shared" si="17"/>
        <v>146.6</v>
      </c>
    </row>
    <row r="51">
      <c r="A51" s="1" t="s">
        <v>56</v>
      </c>
      <c r="B51" s="12">
        <v>6087.0</v>
      </c>
      <c r="C51" s="12">
        <v>6677.0</v>
      </c>
      <c r="D51" s="7">
        <f t="shared" si="1"/>
        <v>0.09692787909</v>
      </c>
      <c r="E51" s="9">
        <v>3600.0</v>
      </c>
      <c r="F51" s="9">
        <v>6643.0</v>
      </c>
      <c r="G51" s="9">
        <v>6643.0</v>
      </c>
      <c r="H51" s="7">
        <f t="shared" si="2"/>
        <v>0</v>
      </c>
      <c r="I51" s="9">
        <v>2860.37</v>
      </c>
      <c r="J51" s="9">
        <v>6592.0</v>
      </c>
      <c r="K51" s="9">
        <v>6566.1</v>
      </c>
      <c r="L51" s="9">
        <v>225.21</v>
      </c>
      <c r="M51" s="13">
        <f t="shared" si="3"/>
        <v>6643</v>
      </c>
      <c r="N51" s="13">
        <f t="shared" si="4"/>
        <v>6643</v>
      </c>
      <c r="O51" s="7">
        <f t="shared" si="5"/>
        <v>0</v>
      </c>
      <c r="Q51" s="7">
        <f t="shared" si="6"/>
        <v>0.09692787909</v>
      </c>
      <c r="R51" s="7">
        <f t="shared" si="7"/>
        <v>0.0913422047</v>
      </c>
      <c r="S51" s="13" t="b">
        <f t="shared" si="8"/>
        <v>0</v>
      </c>
      <c r="T51" s="13">
        <f t="shared" si="9"/>
        <v>3600</v>
      </c>
      <c r="U51" s="7">
        <f t="shared" si="10"/>
        <v>0</v>
      </c>
      <c r="V51" s="7">
        <f t="shared" si="11"/>
        <v>0</v>
      </c>
      <c r="W51" s="13" t="b">
        <f t="shared" si="12"/>
        <v>1</v>
      </c>
      <c r="X51" s="13">
        <f t="shared" si="13"/>
        <v>2860.37</v>
      </c>
      <c r="Y51" s="7">
        <f t="shared" si="14"/>
        <v>0.007736650485</v>
      </c>
      <c r="Z51" s="7">
        <f t="shared" si="15"/>
        <v>0.01171167055</v>
      </c>
      <c r="AA51" s="13" t="b">
        <f t="shared" si="16"/>
        <v>0</v>
      </c>
      <c r="AB51" s="13">
        <f t="shared" si="17"/>
        <v>225.21</v>
      </c>
    </row>
    <row r="52">
      <c r="A52" s="1" t="s">
        <v>57</v>
      </c>
      <c r="B52" s="12">
        <v>8826.0</v>
      </c>
      <c r="C52" s="12">
        <v>9954.0</v>
      </c>
      <c r="D52" s="7">
        <f t="shared" si="1"/>
        <v>0.1278042148</v>
      </c>
      <c r="E52" s="9">
        <v>3600.0</v>
      </c>
      <c r="F52" s="9">
        <v>9447.0</v>
      </c>
      <c r="G52" s="9">
        <v>9781.0</v>
      </c>
      <c r="H52" s="7">
        <f t="shared" si="2"/>
        <v>0.0353551392</v>
      </c>
      <c r="I52" s="9">
        <v>3600.0</v>
      </c>
      <c r="J52" s="9">
        <v>9462.0</v>
      </c>
      <c r="K52" s="9">
        <v>9462.0</v>
      </c>
      <c r="L52" s="9">
        <v>373.12</v>
      </c>
      <c r="M52" s="13">
        <f t="shared" si="3"/>
        <v>9462</v>
      </c>
      <c r="N52" s="13">
        <f t="shared" si="4"/>
        <v>9781</v>
      </c>
      <c r="O52" s="7">
        <f t="shared" si="5"/>
        <v>0.03371380258</v>
      </c>
      <c r="Q52" s="7">
        <f t="shared" si="6"/>
        <v>0.1278042148</v>
      </c>
      <c r="R52" s="7">
        <f t="shared" si="7"/>
        <v>0.07205982325</v>
      </c>
      <c r="S52" s="13" t="b">
        <f t="shared" si="8"/>
        <v>0</v>
      </c>
      <c r="T52" s="13">
        <f t="shared" si="9"/>
        <v>3600</v>
      </c>
      <c r="U52" s="7">
        <f t="shared" si="10"/>
        <v>0.0353551392</v>
      </c>
      <c r="V52" s="7">
        <f t="shared" si="11"/>
        <v>0.001587805653</v>
      </c>
      <c r="W52" s="13" t="b">
        <f t="shared" si="12"/>
        <v>0</v>
      </c>
      <c r="X52" s="13">
        <f t="shared" si="13"/>
        <v>3600</v>
      </c>
      <c r="Y52" s="7">
        <f t="shared" si="14"/>
        <v>0</v>
      </c>
      <c r="Z52" s="7">
        <f t="shared" si="15"/>
        <v>0</v>
      </c>
      <c r="AA52" s="13" t="b">
        <f t="shared" si="16"/>
        <v>1</v>
      </c>
      <c r="AB52" s="13">
        <f t="shared" si="17"/>
        <v>373.12</v>
      </c>
    </row>
    <row r="53">
      <c r="A53" s="1" t="s">
        <v>58</v>
      </c>
      <c r="B53" s="12">
        <v>11235.0</v>
      </c>
      <c r="C53" s="12">
        <v>11894.0</v>
      </c>
      <c r="D53" s="7">
        <f t="shared" si="1"/>
        <v>0.05865598576</v>
      </c>
      <c r="E53" s="9">
        <v>3600.0</v>
      </c>
      <c r="F53" s="9">
        <v>11272.0</v>
      </c>
      <c r="G53" s="9">
        <v>11491.0</v>
      </c>
      <c r="H53" s="7">
        <f t="shared" si="2"/>
        <v>0.01942867282</v>
      </c>
      <c r="I53" s="9">
        <v>3600.0</v>
      </c>
      <c r="J53" s="9">
        <v>11272.0</v>
      </c>
      <c r="K53" s="9">
        <v>11272.0</v>
      </c>
      <c r="L53" s="9">
        <v>255.99</v>
      </c>
      <c r="M53" s="13">
        <f t="shared" si="3"/>
        <v>11272</v>
      </c>
      <c r="N53" s="13">
        <f t="shared" si="4"/>
        <v>11491</v>
      </c>
      <c r="O53" s="7">
        <f t="shared" si="5"/>
        <v>0.01942867282</v>
      </c>
      <c r="Q53" s="7">
        <f t="shared" si="6"/>
        <v>0.05865598576</v>
      </c>
      <c r="R53" s="7">
        <f t="shared" si="7"/>
        <v>0.003293279929</v>
      </c>
      <c r="S53" s="13" t="b">
        <f t="shared" si="8"/>
        <v>0</v>
      </c>
      <c r="T53" s="13">
        <f t="shared" si="9"/>
        <v>3600</v>
      </c>
      <c r="U53" s="7">
        <f t="shared" si="10"/>
        <v>0.01942867282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255.99</v>
      </c>
    </row>
    <row r="54">
      <c r="A54" s="1" t="s">
        <v>59</v>
      </c>
      <c r="B54" s="12">
        <v>10842.0</v>
      </c>
      <c r="C54" s="12">
        <v>11397.0</v>
      </c>
      <c r="D54" s="7">
        <f t="shared" si="1"/>
        <v>0.05118981738</v>
      </c>
      <c r="E54" s="9">
        <v>3600.0</v>
      </c>
      <c r="F54" s="9">
        <v>10600.0</v>
      </c>
      <c r="G54" s="9">
        <v>11288.0</v>
      </c>
      <c r="H54" s="7">
        <f t="shared" si="2"/>
        <v>0.06490566038</v>
      </c>
      <c r="I54" s="9">
        <v>3600.0</v>
      </c>
      <c r="J54" s="9">
        <v>11220.0</v>
      </c>
      <c r="K54" s="9">
        <v>11066.2</v>
      </c>
      <c r="L54" s="9">
        <v>347.74</v>
      </c>
      <c r="M54" s="13">
        <f t="shared" si="3"/>
        <v>11220</v>
      </c>
      <c r="N54" s="13">
        <f t="shared" si="4"/>
        <v>11288</v>
      </c>
      <c r="O54" s="7">
        <f t="shared" si="5"/>
        <v>0.006060606061</v>
      </c>
      <c r="Q54" s="7">
        <f t="shared" si="6"/>
        <v>0.05118981738</v>
      </c>
      <c r="R54" s="7">
        <f t="shared" si="7"/>
        <v>0.03486441616</v>
      </c>
      <c r="S54" s="13" t="b">
        <f t="shared" si="8"/>
        <v>0</v>
      </c>
      <c r="T54" s="13">
        <f t="shared" si="9"/>
        <v>3600</v>
      </c>
      <c r="U54" s="7">
        <f t="shared" si="10"/>
        <v>0.06490566038</v>
      </c>
      <c r="V54" s="7">
        <f t="shared" si="11"/>
        <v>0.05849056604</v>
      </c>
      <c r="W54" s="13" t="b">
        <f t="shared" si="12"/>
        <v>0</v>
      </c>
      <c r="X54" s="13">
        <f t="shared" si="13"/>
        <v>3600</v>
      </c>
      <c r="Y54" s="7">
        <f t="shared" si="14"/>
        <v>0</v>
      </c>
      <c r="Z54" s="7">
        <f t="shared" si="15"/>
        <v>0.01389817643</v>
      </c>
      <c r="AA54" s="13" t="b">
        <f t="shared" si="16"/>
        <v>1</v>
      </c>
      <c r="AB54" s="13">
        <f t="shared" si="17"/>
        <v>347.74</v>
      </c>
    </row>
    <row r="55">
      <c r="A55" s="1" t="s">
        <v>60</v>
      </c>
      <c r="B55" s="12">
        <v>9280.0</v>
      </c>
      <c r="C55" s="12">
        <v>11833.0</v>
      </c>
      <c r="D55" s="7">
        <f t="shared" si="1"/>
        <v>0.2751077586</v>
      </c>
      <c r="E55" s="9">
        <v>3600.0</v>
      </c>
      <c r="F55" s="9">
        <v>10501.0</v>
      </c>
      <c r="G55" s="9">
        <v>11188.0</v>
      </c>
      <c r="H55" s="7">
        <f t="shared" si="2"/>
        <v>0.06542234073</v>
      </c>
      <c r="I55" s="9">
        <v>3600.0</v>
      </c>
      <c r="J55" s="9">
        <v>10997.0</v>
      </c>
      <c r="K55" s="9">
        <v>10977.7</v>
      </c>
      <c r="L55" s="9">
        <v>292.48</v>
      </c>
      <c r="M55" s="13">
        <f t="shared" si="3"/>
        <v>10997</v>
      </c>
      <c r="N55" s="13">
        <f t="shared" si="4"/>
        <v>11188</v>
      </c>
      <c r="O55" s="7">
        <f t="shared" si="5"/>
        <v>0.01736837319</v>
      </c>
      <c r="Q55" s="7">
        <f t="shared" si="6"/>
        <v>0.2751077586</v>
      </c>
      <c r="R55" s="7">
        <f t="shared" si="7"/>
        <v>0.1850215517</v>
      </c>
      <c r="S55" s="13" t="b">
        <f t="shared" si="8"/>
        <v>0</v>
      </c>
      <c r="T55" s="13">
        <f t="shared" si="9"/>
        <v>3600</v>
      </c>
      <c r="U55" s="7">
        <f t="shared" si="10"/>
        <v>0.06542234073</v>
      </c>
      <c r="V55" s="7">
        <f t="shared" si="11"/>
        <v>0.0472335968</v>
      </c>
      <c r="W55" s="13" t="b">
        <f t="shared" si="12"/>
        <v>0</v>
      </c>
      <c r="X55" s="13">
        <f t="shared" si="13"/>
        <v>3600</v>
      </c>
      <c r="Y55" s="7">
        <f t="shared" si="14"/>
        <v>0</v>
      </c>
      <c r="Z55" s="7">
        <f t="shared" si="15"/>
        <v>0.001758109622</v>
      </c>
      <c r="AA55" s="13" t="b">
        <f t="shared" si="16"/>
        <v>1</v>
      </c>
      <c r="AB55" s="13">
        <f t="shared" si="17"/>
        <v>292.48</v>
      </c>
    </row>
    <row r="56">
      <c r="A56" s="1" t="s">
        <v>61</v>
      </c>
      <c r="B56" s="12">
        <v>12122.0</v>
      </c>
      <c r="C56" s="12">
        <v>14262.0</v>
      </c>
      <c r="D56" s="7">
        <f t="shared" si="1"/>
        <v>0.176538525</v>
      </c>
      <c r="E56" s="9">
        <v>3600.0</v>
      </c>
      <c r="F56" s="9">
        <v>11768.0</v>
      </c>
      <c r="G56" s="9">
        <v>13978.0</v>
      </c>
      <c r="H56" s="7">
        <f t="shared" si="2"/>
        <v>0.1877974167</v>
      </c>
      <c r="I56" s="9">
        <v>3600.0</v>
      </c>
      <c r="J56" s="9">
        <v>12971.0</v>
      </c>
      <c r="K56" s="9">
        <v>12952.5</v>
      </c>
      <c r="L56" s="9">
        <v>290.03</v>
      </c>
      <c r="M56" s="13">
        <f t="shared" si="3"/>
        <v>12971</v>
      </c>
      <c r="N56" s="13">
        <f t="shared" si="4"/>
        <v>13978</v>
      </c>
      <c r="O56" s="7">
        <f t="shared" si="5"/>
        <v>0.07763472361</v>
      </c>
      <c r="Q56" s="7">
        <f t="shared" si="6"/>
        <v>0.176538525</v>
      </c>
      <c r="R56" s="7">
        <f t="shared" si="7"/>
        <v>0.07003794753</v>
      </c>
      <c r="S56" s="13" t="b">
        <f t="shared" si="8"/>
        <v>0</v>
      </c>
      <c r="T56" s="13">
        <f t="shared" si="9"/>
        <v>3600</v>
      </c>
      <c r="U56" s="7">
        <f t="shared" si="10"/>
        <v>0.1877974167</v>
      </c>
      <c r="V56" s="7">
        <f t="shared" si="11"/>
        <v>0.1022263766</v>
      </c>
      <c r="W56" s="13" t="b">
        <f t="shared" si="12"/>
        <v>0</v>
      </c>
      <c r="X56" s="13">
        <f t="shared" si="13"/>
        <v>3600</v>
      </c>
      <c r="Y56" s="7">
        <f t="shared" si="14"/>
        <v>0</v>
      </c>
      <c r="Z56" s="7">
        <f t="shared" si="15"/>
        <v>0.001428295696</v>
      </c>
      <c r="AA56" s="13" t="b">
        <f t="shared" si="16"/>
        <v>1</v>
      </c>
      <c r="AB56" s="13">
        <f t="shared" si="17"/>
        <v>290.03</v>
      </c>
    </row>
    <row r="57">
      <c r="A57" s="1" t="s">
        <v>62</v>
      </c>
      <c r="B57" s="12">
        <v>11393.0</v>
      </c>
      <c r="C57" s="12">
        <v>12874.0</v>
      </c>
      <c r="D57" s="7">
        <f t="shared" si="1"/>
        <v>0.1299921004</v>
      </c>
      <c r="E57" s="9">
        <v>3600.0</v>
      </c>
      <c r="F57" s="9">
        <v>12706.0</v>
      </c>
      <c r="G57" s="9">
        <v>12745.0</v>
      </c>
      <c r="H57" s="7">
        <f t="shared" si="2"/>
        <v>0.003069416024</v>
      </c>
      <c r="I57" s="9">
        <v>3600.0</v>
      </c>
      <c r="J57" s="9">
        <v>12660.0</v>
      </c>
      <c r="K57" s="9">
        <v>12574.0</v>
      </c>
      <c r="L57" s="9">
        <v>362.28</v>
      </c>
      <c r="M57" s="13">
        <f t="shared" si="3"/>
        <v>12706</v>
      </c>
      <c r="N57" s="13">
        <f t="shared" si="4"/>
        <v>12745</v>
      </c>
      <c r="O57" s="7">
        <f t="shared" si="5"/>
        <v>0.003069416024</v>
      </c>
      <c r="Q57" s="7">
        <f t="shared" si="6"/>
        <v>0.1299921004</v>
      </c>
      <c r="R57" s="7">
        <f t="shared" si="7"/>
        <v>0.1152462038</v>
      </c>
      <c r="S57" s="13" t="b">
        <f t="shared" si="8"/>
        <v>0</v>
      </c>
      <c r="T57" s="13">
        <f t="shared" si="9"/>
        <v>3600</v>
      </c>
      <c r="U57" s="7">
        <f t="shared" si="10"/>
        <v>0.003069416024</v>
      </c>
      <c r="V57" s="7">
        <f t="shared" si="11"/>
        <v>0</v>
      </c>
      <c r="W57" s="13" t="b">
        <f t="shared" si="12"/>
        <v>1</v>
      </c>
      <c r="X57" s="13">
        <f t="shared" si="13"/>
        <v>3600</v>
      </c>
      <c r="Y57" s="7">
        <f t="shared" si="14"/>
        <v>0.003633491311</v>
      </c>
      <c r="Z57" s="7">
        <f t="shared" si="15"/>
        <v>0.01049785271</v>
      </c>
      <c r="AA57" s="13" t="b">
        <f t="shared" si="16"/>
        <v>0</v>
      </c>
      <c r="AB57" s="13">
        <f t="shared" si="17"/>
        <v>362.28</v>
      </c>
    </row>
    <row r="58">
      <c r="A58" s="1" t="s">
        <v>63</v>
      </c>
      <c r="B58" s="12">
        <v>12295.0</v>
      </c>
      <c r="C58" s="12">
        <v>13805.0</v>
      </c>
      <c r="D58" s="7">
        <f t="shared" si="1"/>
        <v>0.1228141521</v>
      </c>
      <c r="E58" s="9">
        <v>3600.0</v>
      </c>
      <c r="F58" s="9">
        <v>13513.0</v>
      </c>
      <c r="G58" s="9">
        <v>13579.0</v>
      </c>
      <c r="H58" s="7">
        <f t="shared" si="2"/>
        <v>0.004884185599</v>
      </c>
      <c r="I58" s="9">
        <v>3600.0</v>
      </c>
      <c r="J58" s="9">
        <v>13395.0</v>
      </c>
      <c r="K58" s="9">
        <v>13300.4</v>
      </c>
      <c r="L58" s="9">
        <v>371.21</v>
      </c>
      <c r="M58" s="13">
        <f t="shared" si="3"/>
        <v>13513</v>
      </c>
      <c r="N58" s="13">
        <f t="shared" si="4"/>
        <v>13579</v>
      </c>
      <c r="O58" s="7">
        <f t="shared" si="5"/>
        <v>0.004884185599</v>
      </c>
      <c r="Q58" s="7">
        <f t="shared" si="6"/>
        <v>0.1228141521</v>
      </c>
      <c r="R58" s="7">
        <f t="shared" si="7"/>
        <v>0.09906466043</v>
      </c>
      <c r="S58" s="13" t="b">
        <f t="shared" si="8"/>
        <v>0</v>
      </c>
      <c r="T58" s="13">
        <f t="shared" si="9"/>
        <v>3600</v>
      </c>
      <c r="U58" s="7">
        <f t="shared" si="10"/>
        <v>0.004884185599</v>
      </c>
      <c r="V58" s="7">
        <f t="shared" si="11"/>
        <v>0</v>
      </c>
      <c r="W58" s="13" t="b">
        <f t="shared" si="12"/>
        <v>1</v>
      </c>
      <c r="X58" s="13">
        <f t="shared" si="13"/>
        <v>3600</v>
      </c>
      <c r="Y58" s="7">
        <f t="shared" si="14"/>
        <v>0.008809257186</v>
      </c>
      <c r="Z58" s="7">
        <f t="shared" si="15"/>
        <v>0.01598448167</v>
      </c>
      <c r="AA58" s="13" t="b">
        <f t="shared" si="16"/>
        <v>0</v>
      </c>
      <c r="AB58" s="13">
        <f t="shared" si="17"/>
        <v>371.21</v>
      </c>
    </row>
    <row r="59">
      <c r="A59" s="1" t="s">
        <v>64</v>
      </c>
      <c r="B59" s="12">
        <v>14342.0</v>
      </c>
      <c r="C59" s="12">
        <v>17205.0</v>
      </c>
      <c r="D59" s="7">
        <f t="shared" si="1"/>
        <v>0.1996234835</v>
      </c>
      <c r="E59" s="9">
        <v>3600.0</v>
      </c>
      <c r="F59" s="9">
        <v>13345.0</v>
      </c>
      <c r="G59" s="9">
        <v>16798.0</v>
      </c>
      <c r="H59" s="7">
        <f t="shared" si="2"/>
        <v>0.258748595</v>
      </c>
      <c r="I59" s="9">
        <v>3600.0</v>
      </c>
      <c r="J59" s="9">
        <v>14772.0</v>
      </c>
      <c r="K59" s="9">
        <v>14772.0</v>
      </c>
      <c r="L59" s="9">
        <v>143.83</v>
      </c>
      <c r="M59" s="13">
        <f t="shared" si="3"/>
        <v>14772</v>
      </c>
      <c r="N59" s="13">
        <f t="shared" si="4"/>
        <v>16798</v>
      </c>
      <c r="O59" s="7">
        <f t="shared" si="5"/>
        <v>0.1371513675</v>
      </c>
      <c r="Q59" s="7">
        <f t="shared" si="6"/>
        <v>0.1996234835</v>
      </c>
      <c r="R59" s="7">
        <f t="shared" si="7"/>
        <v>0.02998187143</v>
      </c>
      <c r="S59" s="13" t="b">
        <f t="shared" si="8"/>
        <v>0</v>
      </c>
      <c r="T59" s="13">
        <f t="shared" si="9"/>
        <v>3600</v>
      </c>
      <c r="U59" s="7">
        <f t="shared" si="10"/>
        <v>0.258748595</v>
      </c>
      <c r="V59" s="7">
        <f t="shared" si="11"/>
        <v>0.106931435</v>
      </c>
      <c r="W59" s="13" t="b">
        <f t="shared" si="12"/>
        <v>0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143.83</v>
      </c>
    </row>
    <row r="60">
      <c r="A60" s="1" t="s">
        <v>65</v>
      </c>
      <c r="B60" s="12">
        <v>14923.0</v>
      </c>
      <c r="C60" s="12">
        <v>16280.0</v>
      </c>
      <c r="D60" s="7">
        <f t="shared" si="1"/>
        <v>0.09093345842</v>
      </c>
      <c r="E60" s="9">
        <v>3600.0</v>
      </c>
      <c r="F60" s="9">
        <v>15610.0</v>
      </c>
      <c r="G60" s="9">
        <v>15901.0</v>
      </c>
      <c r="H60" s="7">
        <f t="shared" si="2"/>
        <v>0.01864189622</v>
      </c>
      <c r="I60" s="9">
        <v>3600.0</v>
      </c>
      <c r="J60" s="9">
        <v>15659.0</v>
      </c>
      <c r="K60" s="9">
        <v>15656.3</v>
      </c>
      <c r="L60" s="9">
        <v>434.8</v>
      </c>
      <c r="M60" s="13">
        <f t="shared" si="3"/>
        <v>15659</v>
      </c>
      <c r="N60" s="13">
        <f t="shared" si="4"/>
        <v>15901</v>
      </c>
      <c r="O60" s="7">
        <f t="shared" si="5"/>
        <v>0.01545437129</v>
      </c>
      <c r="Q60" s="7">
        <f t="shared" si="6"/>
        <v>0.09093345842</v>
      </c>
      <c r="R60" s="7">
        <f t="shared" si="7"/>
        <v>0.04931984185</v>
      </c>
      <c r="S60" s="13" t="b">
        <f t="shared" si="8"/>
        <v>0</v>
      </c>
      <c r="T60" s="13">
        <f t="shared" si="9"/>
        <v>3600</v>
      </c>
      <c r="U60" s="7">
        <f t="shared" si="10"/>
        <v>0.01864189622</v>
      </c>
      <c r="V60" s="7">
        <f t="shared" si="11"/>
        <v>0.003139013453</v>
      </c>
      <c r="W60" s="13" t="b">
        <f t="shared" si="12"/>
        <v>0</v>
      </c>
      <c r="X60" s="13">
        <f t="shared" si="13"/>
        <v>3600</v>
      </c>
      <c r="Y60" s="7">
        <f t="shared" si="14"/>
        <v>0</v>
      </c>
      <c r="Z60" s="7">
        <f t="shared" si="15"/>
        <v>0.0001724545391</v>
      </c>
      <c r="AA60" s="13" t="b">
        <f t="shared" si="16"/>
        <v>1</v>
      </c>
      <c r="AB60" s="13">
        <f t="shared" si="17"/>
        <v>434.8</v>
      </c>
    </row>
    <row r="61">
      <c r="A61" s="1" t="s">
        <v>66</v>
      </c>
      <c r="B61" s="12">
        <v>14624.0</v>
      </c>
      <c r="C61" s="12">
        <v>19701.0</v>
      </c>
      <c r="D61" s="7">
        <f t="shared" si="1"/>
        <v>0.3471690372</v>
      </c>
      <c r="E61" s="9">
        <v>3600.0</v>
      </c>
      <c r="F61" s="9">
        <v>14737.0</v>
      </c>
      <c r="G61" s="9">
        <v>19678.0</v>
      </c>
      <c r="H61" s="7">
        <f t="shared" si="2"/>
        <v>0.3352785506</v>
      </c>
      <c r="I61" s="9">
        <v>3600.0</v>
      </c>
      <c r="J61" s="9">
        <v>14737.0</v>
      </c>
      <c r="K61" s="9">
        <v>14737.0</v>
      </c>
      <c r="L61" s="9">
        <v>247.59</v>
      </c>
      <c r="M61" s="13">
        <f t="shared" si="3"/>
        <v>14737</v>
      </c>
      <c r="N61" s="13">
        <f t="shared" si="4"/>
        <v>19678</v>
      </c>
      <c r="O61" s="7">
        <f t="shared" si="5"/>
        <v>0.3352785506</v>
      </c>
      <c r="Q61" s="7">
        <f t="shared" si="6"/>
        <v>0.3471690372</v>
      </c>
      <c r="R61" s="7">
        <f t="shared" si="7"/>
        <v>0.00772702407</v>
      </c>
      <c r="S61" s="13" t="b">
        <f t="shared" si="8"/>
        <v>0</v>
      </c>
      <c r="T61" s="13">
        <f t="shared" si="9"/>
        <v>3600</v>
      </c>
      <c r="U61" s="7">
        <f t="shared" si="10"/>
        <v>0.3352785506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</v>
      </c>
      <c r="AA61" s="13" t="b">
        <f t="shared" si="16"/>
        <v>1</v>
      </c>
      <c r="AB61" s="13">
        <f t="shared" si="17"/>
        <v>247.59</v>
      </c>
    </row>
    <row r="62">
      <c r="A62" s="1" t="s">
        <v>67</v>
      </c>
      <c r="B62" s="12">
        <v>11790.0</v>
      </c>
      <c r="C62" s="12">
        <v>16707.0</v>
      </c>
      <c r="D62" s="7">
        <f t="shared" si="1"/>
        <v>0.4170483461</v>
      </c>
      <c r="E62" s="9">
        <v>3600.0</v>
      </c>
      <c r="F62" s="9">
        <v>14175.0</v>
      </c>
      <c r="G62" s="9">
        <v>16103.0</v>
      </c>
      <c r="H62" s="7">
        <f t="shared" si="2"/>
        <v>0.1360141093</v>
      </c>
      <c r="I62" s="9">
        <v>3600.0</v>
      </c>
      <c r="J62" s="9">
        <v>15218.0</v>
      </c>
      <c r="K62" s="9">
        <v>15065.0</v>
      </c>
      <c r="L62" s="9">
        <v>352.64</v>
      </c>
      <c r="M62" s="13">
        <f t="shared" si="3"/>
        <v>15218</v>
      </c>
      <c r="N62" s="13">
        <f t="shared" si="4"/>
        <v>16103</v>
      </c>
      <c r="O62" s="7">
        <f t="shared" si="5"/>
        <v>0.05815481666</v>
      </c>
      <c r="Q62" s="7">
        <f t="shared" si="6"/>
        <v>0.4170483461</v>
      </c>
      <c r="R62" s="7">
        <f t="shared" si="7"/>
        <v>0.290754877</v>
      </c>
      <c r="S62" s="13" t="b">
        <f t="shared" si="8"/>
        <v>0</v>
      </c>
      <c r="T62" s="13">
        <f t="shared" si="9"/>
        <v>3600</v>
      </c>
      <c r="U62" s="7">
        <f t="shared" si="10"/>
        <v>0.1360141093</v>
      </c>
      <c r="V62" s="7">
        <f t="shared" si="11"/>
        <v>0.07358024691</v>
      </c>
      <c r="W62" s="13" t="b">
        <f t="shared" si="12"/>
        <v>0</v>
      </c>
      <c r="X62" s="13">
        <f t="shared" si="13"/>
        <v>3600</v>
      </c>
      <c r="Y62" s="7">
        <f t="shared" si="14"/>
        <v>0</v>
      </c>
      <c r="Z62" s="7">
        <f t="shared" si="15"/>
        <v>0.01015599071</v>
      </c>
      <c r="AA62" s="13" t="b">
        <f t="shared" si="16"/>
        <v>1</v>
      </c>
      <c r="AB62" s="13">
        <f t="shared" si="17"/>
        <v>352.64</v>
      </c>
      <c r="AD62" s="7">
        <f t="shared" ref="AD62:AE62" si="21">AVERAGE(Q33:Q62)</f>
        <v>0.1456754555</v>
      </c>
      <c r="AE62" s="7">
        <f t="shared" si="21"/>
        <v>0.05462966331</v>
      </c>
      <c r="AF62" s="13">
        <f>COUNTIF(S33:S62, "TRUE")</f>
        <v>8</v>
      </c>
      <c r="AG62" s="13">
        <f>COUNTIF(Q33:Q62,"=0")</f>
        <v>2</v>
      </c>
      <c r="AH62" s="13">
        <f t="shared" ref="AH62:AJ62" si="22">AVERAGE(T33:T62)</f>
        <v>3419.54</v>
      </c>
      <c r="AI62" s="7">
        <f t="shared" si="22"/>
        <v>0.05053404928</v>
      </c>
      <c r="AJ62" s="7">
        <f t="shared" si="22"/>
        <v>0.01311957099</v>
      </c>
      <c r="AK62" s="13">
        <f>COUNTIF(W33:W62, "TRUE")</f>
        <v>22</v>
      </c>
      <c r="AL62" s="13">
        <f>COUNTIF(U33:U62,"=0")</f>
        <v>9</v>
      </c>
      <c r="AM62" s="13">
        <f t="shared" ref="AM62:AO62" si="23">AVERAGE(X33:X62)</f>
        <v>2746.250333</v>
      </c>
      <c r="AN62" s="7">
        <f t="shared" si="23"/>
        <v>0.0007769219195</v>
      </c>
      <c r="AO62" s="7">
        <f t="shared" si="23"/>
        <v>0.002495876189</v>
      </c>
      <c r="AP62" s="13">
        <f>COUNTIF(AA33:AA62, "TRUE")</f>
        <v>26</v>
      </c>
      <c r="AQ62" s="13">
        <f>AVERAGE(AB33:AB62)</f>
        <v>201.8163333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113.0</v>
      </c>
      <c r="C3" s="12">
        <v>113.0</v>
      </c>
      <c r="D3" s="7">
        <f t="shared" ref="D3:D62" si="1">(C3-B3)/B3</f>
        <v>0</v>
      </c>
      <c r="E3" s="9">
        <v>0.88</v>
      </c>
      <c r="F3" s="9">
        <v>113.0</v>
      </c>
      <c r="G3" s="9">
        <v>113.0</v>
      </c>
      <c r="H3" s="7">
        <f t="shared" ref="H3:H62" si="2">(G3-F3)/F3</f>
        <v>0</v>
      </c>
      <c r="I3" s="9">
        <v>0.1</v>
      </c>
      <c r="J3" s="9">
        <v>113.0</v>
      </c>
      <c r="K3" s="9">
        <v>113.0</v>
      </c>
      <c r="L3" s="9">
        <v>39.64</v>
      </c>
      <c r="M3" s="13">
        <f t="shared" ref="M3:M62" si="3">MAX(B3,F3,J3)</f>
        <v>113</v>
      </c>
      <c r="N3" s="13">
        <f t="shared" ref="N3:N62" si="4">MIN(C3,G3)</f>
        <v>113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0.88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0.1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39.64</v>
      </c>
    </row>
    <row r="4">
      <c r="A4" s="1" t="s">
        <v>9</v>
      </c>
      <c r="B4" s="12">
        <v>101.0</v>
      </c>
      <c r="C4" s="12">
        <v>101.0</v>
      </c>
      <c r="D4" s="7">
        <f t="shared" si="1"/>
        <v>0</v>
      </c>
      <c r="E4" s="9">
        <v>2.78</v>
      </c>
      <c r="F4" s="9">
        <v>101.0</v>
      </c>
      <c r="G4" s="9">
        <v>101.0</v>
      </c>
      <c r="H4" s="7">
        <f t="shared" si="2"/>
        <v>0</v>
      </c>
      <c r="I4" s="9">
        <v>0.66</v>
      </c>
      <c r="J4" s="9">
        <v>101.0</v>
      </c>
      <c r="K4" s="9">
        <v>101.0</v>
      </c>
      <c r="L4" s="9">
        <v>0.7</v>
      </c>
      <c r="M4" s="13">
        <f t="shared" si="3"/>
        <v>101</v>
      </c>
      <c r="N4" s="13">
        <f t="shared" si="4"/>
        <v>101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2.78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0.66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0.7</v>
      </c>
    </row>
    <row r="5">
      <c r="A5" s="1" t="s">
        <v>10</v>
      </c>
      <c r="B5" s="12">
        <v>134.0</v>
      </c>
      <c r="C5" s="12">
        <v>134.0</v>
      </c>
      <c r="D5" s="7">
        <f t="shared" si="1"/>
        <v>0</v>
      </c>
      <c r="E5" s="9">
        <v>0.15</v>
      </c>
      <c r="F5" s="9">
        <v>134.0</v>
      </c>
      <c r="G5" s="9">
        <v>134.0</v>
      </c>
      <c r="H5" s="7">
        <f t="shared" si="2"/>
        <v>0</v>
      </c>
      <c r="I5" s="9">
        <v>0.05</v>
      </c>
      <c r="J5" s="9">
        <v>134.0</v>
      </c>
      <c r="K5" s="9">
        <v>134.0</v>
      </c>
      <c r="L5" s="9">
        <v>0.24</v>
      </c>
      <c r="M5" s="13">
        <f t="shared" si="3"/>
        <v>134</v>
      </c>
      <c r="N5" s="13">
        <f t="shared" si="4"/>
        <v>134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0.15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0.05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0.24</v>
      </c>
    </row>
    <row r="6">
      <c r="A6" s="1" t="s">
        <v>11</v>
      </c>
      <c r="B6" s="12">
        <v>107.0</v>
      </c>
      <c r="C6" s="12">
        <v>107.0</v>
      </c>
      <c r="D6" s="7">
        <f t="shared" si="1"/>
        <v>0</v>
      </c>
      <c r="E6" s="9">
        <v>2.28</v>
      </c>
      <c r="F6" s="9">
        <v>107.0</v>
      </c>
      <c r="G6" s="9">
        <v>107.0</v>
      </c>
      <c r="H6" s="7">
        <f t="shared" si="2"/>
        <v>0</v>
      </c>
      <c r="I6" s="9">
        <v>0.84</v>
      </c>
      <c r="J6" s="9">
        <v>107.0</v>
      </c>
      <c r="K6" s="9">
        <v>107.0</v>
      </c>
      <c r="L6" s="9">
        <v>13.02</v>
      </c>
      <c r="M6" s="13">
        <f t="shared" si="3"/>
        <v>107</v>
      </c>
      <c r="N6" s="13">
        <f t="shared" si="4"/>
        <v>107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2.28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0.84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13.02</v>
      </c>
    </row>
    <row r="7">
      <c r="A7" s="1" t="s">
        <v>12</v>
      </c>
      <c r="B7" s="12">
        <v>162.0</v>
      </c>
      <c r="C7" s="12">
        <v>162.0</v>
      </c>
      <c r="D7" s="7">
        <f t="shared" si="1"/>
        <v>0</v>
      </c>
      <c r="E7" s="9">
        <v>2.32</v>
      </c>
      <c r="F7" s="9">
        <v>162.0</v>
      </c>
      <c r="G7" s="9">
        <v>162.0</v>
      </c>
      <c r="H7" s="7">
        <f t="shared" si="2"/>
        <v>0</v>
      </c>
      <c r="I7" s="9">
        <v>0.55</v>
      </c>
      <c r="J7" s="9">
        <v>162.0</v>
      </c>
      <c r="K7" s="9">
        <v>162.0</v>
      </c>
      <c r="L7" s="9">
        <v>4.33</v>
      </c>
      <c r="M7" s="13">
        <f t="shared" si="3"/>
        <v>162</v>
      </c>
      <c r="N7" s="13">
        <f t="shared" si="4"/>
        <v>162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2.32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0.55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4.33</v>
      </c>
    </row>
    <row r="8">
      <c r="A8" s="1" t="s">
        <v>13</v>
      </c>
      <c r="B8" s="12">
        <v>159.0</v>
      </c>
      <c r="C8" s="12">
        <v>159.0</v>
      </c>
      <c r="D8" s="7">
        <f t="shared" si="1"/>
        <v>0</v>
      </c>
      <c r="E8" s="9">
        <v>2.21</v>
      </c>
      <c r="F8" s="9">
        <v>159.0</v>
      </c>
      <c r="G8" s="9">
        <v>159.0</v>
      </c>
      <c r="H8" s="7">
        <f t="shared" si="2"/>
        <v>0</v>
      </c>
      <c r="I8" s="9">
        <v>1.41</v>
      </c>
      <c r="J8" s="9">
        <v>159.0</v>
      </c>
      <c r="K8" s="9">
        <v>159.0</v>
      </c>
      <c r="L8" s="9">
        <v>68.3</v>
      </c>
      <c r="M8" s="13">
        <f t="shared" si="3"/>
        <v>159</v>
      </c>
      <c r="N8" s="13">
        <f t="shared" si="4"/>
        <v>159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2.21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1.41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68.3</v>
      </c>
    </row>
    <row r="9">
      <c r="A9" s="1" t="s">
        <v>14</v>
      </c>
      <c r="B9" s="12">
        <v>165.0</v>
      </c>
      <c r="C9" s="12">
        <v>165.0</v>
      </c>
      <c r="D9" s="7">
        <f t="shared" si="1"/>
        <v>0</v>
      </c>
      <c r="E9" s="9">
        <v>0.54</v>
      </c>
      <c r="F9" s="9">
        <v>165.0</v>
      </c>
      <c r="G9" s="9">
        <v>165.0</v>
      </c>
      <c r="H9" s="7">
        <f t="shared" si="2"/>
        <v>0</v>
      </c>
      <c r="I9" s="9">
        <v>0.14</v>
      </c>
      <c r="J9" s="9">
        <v>165.0</v>
      </c>
      <c r="K9" s="9">
        <v>165.0</v>
      </c>
      <c r="L9" s="9">
        <v>21.8</v>
      </c>
      <c r="M9" s="13">
        <f t="shared" si="3"/>
        <v>165</v>
      </c>
      <c r="N9" s="13">
        <f t="shared" si="4"/>
        <v>165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0.54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0.14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21.8</v>
      </c>
    </row>
    <row r="10">
      <c r="A10" s="1" t="s">
        <v>15</v>
      </c>
      <c r="B10" s="12">
        <v>187.0</v>
      </c>
      <c r="C10" s="12">
        <v>187.0</v>
      </c>
      <c r="D10" s="7">
        <f t="shared" si="1"/>
        <v>0</v>
      </c>
      <c r="E10" s="9">
        <v>1.17</v>
      </c>
      <c r="F10" s="9">
        <v>187.0</v>
      </c>
      <c r="G10" s="9">
        <v>187.0</v>
      </c>
      <c r="H10" s="7">
        <f t="shared" si="2"/>
        <v>0</v>
      </c>
      <c r="I10" s="9">
        <v>0.32</v>
      </c>
      <c r="J10" s="9">
        <v>187.0</v>
      </c>
      <c r="K10" s="9">
        <v>187.0</v>
      </c>
      <c r="L10" s="9">
        <v>27.96</v>
      </c>
      <c r="M10" s="13">
        <f t="shared" si="3"/>
        <v>187</v>
      </c>
      <c r="N10" s="13">
        <f t="shared" si="4"/>
        <v>187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1.17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0.32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27.96</v>
      </c>
    </row>
    <row r="11">
      <c r="A11" s="1" t="s">
        <v>16</v>
      </c>
      <c r="B11" s="12">
        <v>201.0</v>
      </c>
      <c r="C11" s="12">
        <v>201.0</v>
      </c>
      <c r="D11" s="7">
        <f t="shared" si="1"/>
        <v>0</v>
      </c>
      <c r="E11" s="9">
        <v>1.34</v>
      </c>
      <c r="F11" s="9">
        <v>201.0</v>
      </c>
      <c r="G11" s="9">
        <v>201.0</v>
      </c>
      <c r="H11" s="7">
        <f t="shared" si="2"/>
        <v>0</v>
      </c>
      <c r="I11" s="9">
        <v>0.14</v>
      </c>
      <c r="J11" s="9">
        <v>201.0</v>
      </c>
      <c r="K11" s="9">
        <v>201.0</v>
      </c>
      <c r="L11" s="9">
        <v>0.04</v>
      </c>
      <c r="M11" s="13">
        <f t="shared" si="3"/>
        <v>201</v>
      </c>
      <c r="N11" s="13">
        <f t="shared" si="4"/>
        <v>201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1.34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0.14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0.04</v>
      </c>
    </row>
    <row r="12">
      <c r="A12" s="1" t="s">
        <v>17</v>
      </c>
      <c r="B12" s="12">
        <v>204.0</v>
      </c>
      <c r="C12" s="12">
        <v>204.0</v>
      </c>
      <c r="D12" s="7">
        <f t="shared" si="1"/>
        <v>0</v>
      </c>
      <c r="E12" s="9">
        <v>2.72</v>
      </c>
      <c r="F12" s="9">
        <v>204.0</v>
      </c>
      <c r="G12" s="9">
        <v>204.0</v>
      </c>
      <c r="H12" s="7">
        <f t="shared" si="2"/>
        <v>0</v>
      </c>
      <c r="I12" s="9">
        <v>0.51</v>
      </c>
      <c r="J12" s="9">
        <v>204.0</v>
      </c>
      <c r="K12" s="9">
        <v>203.0</v>
      </c>
      <c r="L12" s="9">
        <v>16.35</v>
      </c>
      <c r="M12" s="13">
        <f t="shared" si="3"/>
        <v>204</v>
      </c>
      <c r="N12" s="13">
        <f t="shared" si="4"/>
        <v>204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2.72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0.51</v>
      </c>
      <c r="Y12" s="7">
        <f t="shared" si="14"/>
        <v>0</v>
      </c>
      <c r="Z12" s="7">
        <f t="shared" si="15"/>
        <v>0.004926108374</v>
      </c>
      <c r="AA12" s="13" t="b">
        <f t="shared" si="16"/>
        <v>1</v>
      </c>
      <c r="AB12" s="13">
        <f t="shared" si="17"/>
        <v>16.35</v>
      </c>
    </row>
    <row r="13">
      <c r="A13" s="1" t="s">
        <v>18</v>
      </c>
      <c r="B13" s="12">
        <v>188.0</v>
      </c>
      <c r="C13" s="12">
        <v>188.0</v>
      </c>
      <c r="D13" s="7">
        <f t="shared" si="1"/>
        <v>0</v>
      </c>
      <c r="E13" s="9">
        <v>1.46</v>
      </c>
      <c r="F13" s="9">
        <v>188.0</v>
      </c>
      <c r="G13" s="9">
        <v>188.0</v>
      </c>
      <c r="H13" s="7">
        <f t="shared" si="2"/>
        <v>0</v>
      </c>
      <c r="I13" s="9">
        <v>0.24</v>
      </c>
      <c r="J13" s="9">
        <v>188.0</v>
      </c>
      <c r="K13" s="9">
        <v>188.0</v>
      </c>
      <c r="L13" s="9">
        <v>6.39</v>
      </c>
      <c r="M13" s="13">
        <f t="shared" si="3"/>
        <v>188</v>
      </c>
      <c r="N13" s="13">
        <f t="shared" si="4"/>
        <v>188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1.46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0.24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6.39</v>
      </c>
    </row>
    <row r="14">
      <c r="A14" s="1" t="s">
        <v>19</v>
      </c>
      <c r="B14" s="12">
        <v>180.0</v>
      </c>
      <c r="C14" s="12">
        <v>180.0</v>
      </c>
      <c r="D14" s="7">
        <f t="shared" si="1"/>
        <v>0</v>
      </c>
      <c r="E14" s="9">
        <v>165.15</v>
      </c>
      <c r="F14" s="9">
        <v>180.0</v>
      </c>
      <c r="G14" s="9">
        <v>180.0</v>
      </c>
      <c r="H14" s="7">
        <f t="shared" si="2"/>
        <v>0</v>
      </c>
      <c r="I14" s="9">
        <v>1.56</v>
      </c>
      <c r="J14" s="9">
        <v>180.0</v>
      </c>
      <c r="K14" s="9">
        <v>180.0</v>
      </c>
      <c r="L14" s="9">
        <v>47.59</v>
      </c>
      <c r="M14" s="13">
        <f t="shared" si="3"/>
        <v>180</v>
      </c>
      <c r="N14" s="13">
        <f t="shared" si="4"/>
        <v>180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165.15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1.56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47.59</v>
      </c>
    </row>
    <row r="15">
      <c r="A15" s="1" t="s">
        <v>20</v>
      </c>
      <c r="B15" s="12">
        <v>193.0</v>
      </c>
      <c r="C15" s="12">
        <v>193.0</v>
      </c>
      <c r="D15" s="7">
        <f t="shared" si="1"/>
        <v>0</v>
      </c>
      <c r="E15" s="9">
        <v>1.54</v>
      </c>
      <c r="F15" s="9">
        <v>193.0</v>
      </c>
      <c r="G15" s="9">
        <v>193.0</v>
      </c>
      <c r="H15" s="7">
        <f t="shared" si="2"/>
        <v>0</v>
      </c>
      <c r="I15" s="9">
        <v>0.72</v>
      </c>
      <c r="J15" s="9">
        <v>193.0</v>
      </c>
      <c r="K15" s="9">
        <v>193.0</v>
      </c>
      <c r="L15" s="9">
        <v>2.99</v>
      </c>
      <c r="M15" s="13">
        <f t="shared" si="3"/>
        <v>193</v>
      </c>
      <c r="N15" s="13">
        <f t="shared" si="4"/>
        <v>193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1.54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0.72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2.99</v>
      </c>
    </row>
    <row r="16">
      <c r="A16" s="1" t="s">
        <v>21</v>
      </c>
      <c r="B16" s="12">
        <v>194.0</v>
      </c>
      <c r="C16" s="12">
        <v>194.0</v>
      </c>
      <c r="D16" s="7">
        <f t="shared" si="1"/>
        <v>0</v>
      </c>
      <c r="E16" s="9">
        <v>32.93</v>
      </c>
      <c r="F16" s="9">
        <v>194.0</v>
      </c>
      <c r="G16" s="9">
        <v>194.0</v>
      </c>
      <c r="H16" s="7">
        <f t="shared" si="2"/>
        <v>0</v>
      </c>
      <c r="I16" s="9">
        <v>4.86</v>
      </c>
      <c r="J16" s="9">
        <v>194.0</v>
      </c>
      <c r="K16" s="9">
        <v>194.0</v>
      </c>
      <c r="L16" s="9">
        <v>35.91</v>
      </c>
      <c r="M16" s="13">
        <f t="shared" si="3"/>
        <v>194</v>
      </c>
      <c r="N16" s="13">
        <f t="shared" si="4"/>
        <v>194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32.93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4.86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35.91</v>
      </c>
    </row>
    <row r="17">
      <c r="A17" s="1" t="s">
        <v>22</v>
      </c>
      <c r="B17" s="12">
        <v>225.0</v>
      </c>
      <c r="C17" s="12">
        <v>225.0</v>
      </c>
      <c r="D17" s="7">
        <f t="shared" si="1"/>
        <v>0</v>
      </c>
      <c r="E17" s="9">
        <v>21.64</v>
      </c>
      <c r="F17" s="9">
        <v>225.0</v>
      </c>
      <c r="G17" s="9">
        <v>225.0</v>
      </c>
      <c r="H17" s="7">
        <f t="shared" si="2"/>
        <v>0</v>
      </c>
      <c r="I17" s="9">
        <v>1.57</v>
      </c>
      <c r="J17" s="9">
        <v>225.0</v>
      </c>
      <c r="K17" s="9">
        <v>225.0</v>
      </c>
      <c r="L17" s="9">
        <v>0.74</v>
      </c>
      <c r="M17" s="13">
        <f t="shared" si="3"/>
        <v>225</v>
      </c>
      <c r="N17" s="13">
        <f t="shared" si="4"/>
        <v>225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21.64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1.57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0.74</v>
      </c>
    </row>
    <row r="18">
      <c r="A18" s="1" t="s">
        <v>23</v>
      </c>
      <c r="B18" s="12">
        <v>257.0</v>
      </c>
      <c r="C18" s="12">
        <v>257.0</v>
      </c>
      <c r="D18" s="7">
        <f t="shared" si="1"/>
        <v>0</v>
      </c>
      <c r="E18" s="9">
        <v>1.12</v>
      </c>
      <c r="F18" s="9">
        <v>257.0</v>
      </c>
      <c r="G18" s="9">
        <v>257.0</v>
      </c>
      <c r="H18" s="7">
        <f t="shared" si="2"/>
        <v>0</v>
      </c>
      <c r="I18" s="9">
        <v>0.42</v>
      </c>
      <c r="J18" s="9">
        <v>257.0</v>
      </c>
      <c r="K18" s="9">
        <v>257.0</v>
      </c>
      <c r="L18" s="9">
        <v>0.57</v>
      </c>
      <c r="M18" s="13">
        <f t="shared" si="3"/>
        <v>257</v>
      </c>
      <c r="N18" s="13">
        <f t="shared" si="4"/>
        <v>257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1.12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0.42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0.57</v>
      </c>
    </row>
    <row r="19">
      <c r="A19" s="1" t="s">
        <v>24</v>
      </c>
      <c r="B19" s="12">
        <v>246.0</v>
      </c>
      <c r="C19" s="12">
        <v>246.0</v>
      </c>
      <c r="D19" s="7">
        <f t="shared" si="1"/>
        <v>0</v>
      </c>
      <c r="E19" s="9">
        <v>3.05</v>
      </c>
      <c r="F19" s="9">
        <v>246.0</v>
      </c>
      <c r="G19" s="9">
        <v>246.0</v>
      </c>
      <c r="H19" s="7">
        <f t="shared" si="2"/>
        <v>0</v>
      </c>
      <c r="I19" s="9">
        <v>0.8</v>
      </c>
      <c r="J19" s="9">
        <v>246.0</v>
      </c>
      <c r="K19" s="9">
        <v>246.0</v>
      </c>
      <c r="L19" s="9">
        <v>7.85</v>
      </c>
      <c r="M19" s="13">
        <f t="shared" si="3"/>
        <v>246</v>
      </c>
      <c r="N19" s="13">
        <f t="shared" si="4"/>
        <v>246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3.05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0.8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7.85</v>
      </c>
    </row>
    <row r="20">
      <c r="A20" s="1" t="s">
        <v>25</v>
      </c>
      <c r="B20" s="12">
        <v>294.0</v>
      </c>
      <c r="C20" s="12">
        <v>294.0</v>
      </c>
      <c r="D20" s="7">
        <f t="shared" si="1"/>
        <v>0</v>
      </c>
      <c r="E20" s="9">
        <v>2121.46</v>
      </c>
      <c r="F20" s="9">
        <v>294.0</v>
      </c>
      <c r="G20" s="9">
        <v>294.0</v>
      </c>
      <c r="H20" s="7">
        <f t="shared" si="2"/>
        <v>0</v>
      </c>
      <c r="I20" s="9">
        <v>0.87</v>
      </c>
      <c r="J20" s="9">
        <v>294.0</v>
      </c>
      <c r="K20" s="9">
        <v>293.3</v>
      </c>
      <c r="L20" s="9">
        <v>24.14</v>
      </c>
      <c r="M20" s="13">
        <f t="shared" si="3"/>
        <v>294</v>
      </c>
      <c r="N20" s="13">
        <f t="shared" si="4"/>
        <v>294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2121.46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0.87</v>
      </c>
      <c r="Y20" s="7">
        <f t="shared" si="14"/>
        <v>0</v>
      </c>
      <c r="Z20" s="7">
        <f t="shared" si="15"/>
        <v>0.002386634845</v>
      </c>
      <c r="AA20" s="13" t="b">
        <f t="shared" si="16"/>
        <v>1</v>
      </c>
      <c r="AB20" s="13">
        <f t="shared" si="17"/>
        <v>24.14</v>
      </c>
    </row>
    <row r="21">
      <c r="A21" s="1" t="s">
        <v>26</v>
      </c>
      <c r="B21" s="12">
        <v>281.0</v>
      </c>
      <c r="C21" s="12">
        <v>286.0</v>
      </c>
      <c r="D21" s="7">
        <f t="shared" si="1"/>
        <v>0.01779359431</v>
      </c>
      <c r="E21" s="9">
        <v>3600.0</v>
      </c>
      <c r="F21" s="9">
        <v>281.0</v>
      </c>
      <c r="G21" s="9">
        <v>281.0</v>
      </c>
      <c r="H21" s="7">
        <f t="shared" si="2"/>
        <v>0</v>
      </c>
      <c r="I21" s="9">
        <v>33.28</v>
      </c>
      <c r="J21" s="9">
        <v>281.0</v>
      </c>
      <c r="K21" s="9">
        <v>277.6</v>
      </c>
      <c r="L21" s="9">
        <v>5.83</v>
      </c>
      <c r="M21" s="13">
        <f t="shared" si="3"/>
        <v>281</v>
      </c>
      <c r="N21" s="13">
        <f t="shared" si="4"/>
        <v>281</v>
      </c>
      <c r="O21" s="7">
        <f t="shared" si="5"/>
        <v>0</v>
      </c>
      <c r="Q21" s="7">
        <f t="shared" si="6"/>
        <v>0.01779359431</v>
      </c>
      <c r="R21" s="7">
        <f t="shared" si="7"/>
        <v>0</v>
      </c>
      <c r="S21" s="13" t="b">
        <f t="shared" si="8"/>
        <v>1</v>
      </c>
      <c r="T21" s="13">
        <f t="shared" si="9"/>
        <v>3600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33.28</v>
      </c>
      <c r="Y21" s="7">
        <f t="shared" si="14"/>
        <v>0</v>
      </c>
      <c r="Z21" s="7">
        <f t="shared" si="15"/>
        <v>0.01224783862</v>
      </c>
      <c r="AA21" s="13" t="b">
        <f t="shared" si="16"/>
        <v>1</v>
      </c>
      <c r="AB21" s="13">
        <f t="shared" si="17"/>
        <v>5.83</v>
      </c>
    </row>
    <row r="22">
      <c r="A22" s="1" t="s">
        <v>27</v>
      </c>
      <c r="B22" s="12">
        <v>249.0</v>
      </c>
      <c r="C22" s="12">
        <v>249.0</v>
      </c>
      <c r="D22" s="7">
        <f t="shared" si="1"/>
        <v>0</v>
      </c>
      <c r="E22" s="9">
        <v>20.63</v>
      </c>
      <c r="F22" s="9">
        <v>249.0</v>
      </c>
      <c r="G22" s="9">
        <v>249.0</v>
      </c>
      <c r="H22" s="7">
        <f t="shared" si="2"/>
        <v>0</v>
      </c>
      <c r="I22" s="9">
        <v>5.21</v>
      </c>
      <c r="J22" s="9">
        <v>249.0</v>
      </c>
      <c r="K22" s="9">
        <v>249.0</v>
      </c>
      <c r="L22" s="9">
        <v>23.7</v>
      </c>
      <c r="M22" s="13">
        <f t="shared" si="3"/>
        <v>249</v>
      </c>
      <c r="N22" s="13">
        <f t="shared" si="4"/>
        <v>249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20.63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5.21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23.7</v>
      </c>
    </row>
    <row r="23">
      <c r="A23" s="1" t="s">
        <v>28</v>
      </c>
      <c r="B23" s="12">
        <v>312.0</v>
      </c>
      <c r="C23" s="12">
        <v>312.0</v>
      </c>
      <c r="D23" s="7">
        <f t="shared" si="1"/>
        <v>0</v>
      </c>
      <c r="E23" s="9">
        <v>14.01</v>
      </c>
      <c r="F23" s="9">
        <v>312.0</v>
      </c>
      <c r="G23" s="9">
        <v>312.0</v>
      </c>
      <c r="H23" s="7">
        <f t="shared" si="2"/>
        <v>0</v>
      </c>
      <c r="I23" s="9">
        <v>0.99</v>
      </c>
      <c r="J23" s="9">
        <v>312.0</v>
      </c>
      <c r="K23" s="9">
        <v>312.0</v>
      </c>
      <c r="L23" s="9">
        <v>105.74</v>
      </c>
      <c r="M23" s="13">
        <f t="shared" si="3"/>
        <v>312</v>
      </c>
      <c r="N23" s="13">
        <f t="shared" si="4"/>
        <v>312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14.01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0.99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105.74</v>
      </c>
    </row>
    <row r="24">
      <c r="A24" s="1" t="s">
        <v>29</v>
      </c>
      <c r="B24" s="12">
        <v>313.0</v>
      </c>
      <c r="C24" s="12">
        <v>313.0</v>
      </c>
      <c r="D24" s="7">
        <f t="shared" si="1"/>
        <v>0</v>
      </c>
      <c r="E24" s="9">
        <v>26.94</v>
      </c>
      <c r="F24" s="9">
        <v>313.0</v>
      </c>
      <c r="G24" s="9">
        <v>313.0</v>
      </c>
      <c r="H24" s="7">
        <f t="shared" si="2"/>
        <v>0</v>
      </c>
      <c r="I24" s="9">
        <v>2.67</v>
      </c>
      <c r="J24" s="9">
        <v>313.0</v>
      </c>
      <c r="K24" s="9">
        <v>313.0</v>
      </c>
      <c r="L24" s="9">
        <v>2.72</v>
      </c>
      <c r="M24" s="13">
        <f t="shared" si="3"/>
        <v>313</v>
      </c>
      <c r="N24" s="13">
        <f t="shared" si="4"/>
        <v>313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26.94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2.67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2.72</v>
      </c>
    </row>
    <row r="25">
      <c r="A25" s="1" t="s">
        <v>30</v>
      </c>
      <c r="B25" s="12">
        <v>280.0</v>
      </c>
      <c r="C25" s="12">
        <v>294.0</v>
      </c>
      <c r="D25" s="7">
        <f t="shared" si="1"/>
        <v>0.05</v>
      </c>
      <c r="E25" s="9">
        <v>3600.0</v>
      </c>
      <c r="F25" s="9">
        <v>280.0</v>
      </c>
      <c r="G25" s="9">
        <v>280.0</v>
      </c>
      <c r="H25" s="7">
        <f t="shared" si="2"/>
        <v>0</v>
      </c>
      <c r="I25" s="9">
        <v>4.34</v>
      </c>
      <c r="J25" s="9">
        <v>280.0</v>
      </c>
      <c r="K25" s="9">
        <v>280.0</v>
      </c>
      <c r="L25" s="9">
        <v>2.09</v>
      </c>
      <c r="M25" s="13">
        <f t="shared" si="3"/>
        <v>280</v>
      </c>
      <c r="N25" s="13">
        <f t="shared" si="4"/>
        <v>280</v>
      </c>
      <c r="O25" s="7">
        <f t="shared" si="5"/>
        <v>0</v>
      </c>
      <c r="Q25" s="7">
        <f t="shared" si="6"/>
        <v>0.05</v>
      </c>
      <c r="R25" s="7">
        <f t="shared" si="7"/>
        <v>0</v>
      </c>
      <c r="S25" s="13" t="b">
        <f t="shared" si="8"/>
        <v>1</v>
      </c>
      <c r="T25" s="13">
        <f t="shared" si="9"/>
        <v>3600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4.34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2.09</v>
      </c>
    </row>
    <row r="26">
      <c r="A26" s="1" t="s">
        <v>31</v>
      </c>
      <c r="B26" s="12">
        <v>335.0</v>
      </c>
      <c r="C26" s="12">
        <v>335.0</v>
      </c>
      <c r="D26" s="7">
        <f t="shared" si="1"/>
        <v>0</v>
      </c>
      <c r="E26" s="9">
        <v>1.98</v>
      </c>
      <c r="F26" s="9">
        <v>335.0</v>
      </c>
      <c r="G26" s="9">
        <v>335.0</v>
      </c>
      <c r="H26" s="7">
        <f t="shared" si="2"/>
        <v>0</v>
      </c>
      <c r="I26" s="9">
        <v>0.28</v>
      </c>
      <c r="J26" s="9">
        <v>335.0</v>
      </c>
      <c r="K26" s="9">
        <v>335.0</v>
      </c>
      <c r="L26" s="9">
        <v>78.48</v>
      </c>
      <c r="M26" s="13">
        <f t="shared" si="3"/>
        <v>335</v>
      </c>
      <c r="N26" s="13">
        <f t="shared" si="4"/>
        <v>335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1.98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0.28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78.48</v>
      </c>
    </row>
    <row r="27">
      <c r="A27" s="1" t="s">
        <v>32</v>
      </c>
      <c r="B27" s="12">
        <v>377.0</v>
      </c>
      <c r="C27" s="12">
        <v>377.0</v>
      </c>
      <c r="D27" s="7">
        <f t="shared" si="1"/>
        <v>0</v>
      </c>
      <c r="E27" s="9">
        <v>1.7</v>
      </c>
      <c r="F27" s="9">
        <v>377.0</v>
      </c>
      <c r="G27" s="9">
        <v>377.0</v>
      </c>
      <c r="H27" s="7">
        <f t="shared" si="2"/>
        <v>0</v>
      </c>
      <c r="I27" s="9">
        <v>0.3</v>
      </c>
      <c r="J27" s="9">
        <v>377.0</v>
      </c>
      <c r="K27" s="9">
        <v>377.0</v>
      </c>
      <c r="L27" s="9">
        <v>2.57</v>
      </c>
      <c r="M27" s="13">
        <f t="shared" si="3"/>
        <v>377</v>
      </c>
      <c r="N27" s="13">
        <f t="shared" si="4"/>
        <v>377</v>
      </c>
      <c r="O27" s="7">
        <f t="shared" si="5"/>
        <v>0</v>
      </c>
      <c r="Q27" s="7">
        <f t="shared" si="6"/>
        <v>0</v>
      </c>
      <c r="R27" s="7">
        <f t="shared" si="7"/>
        <v>0</v>
      </c>
      <c r="S27" s="13" t="b">
        <f t="shared" si="8"/>
        <v>1</v>
      </c>
      <c r="T27" s="13">
        <f t="shared" si="9"/>
        <v>1.7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0.3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2.57</v>
      </c>
    </row>
    <row r="28">
      <c r="A28" s="1" t="s">
        <v>33</v>
      </c>
      <c r="B28" s="12">
        <v>343.0</v>
      </c>
      <c r="C28" s="12">
        <v>343.0</v>
      </c>
      <c r="D28" s="7">
        <f t="shared" si="1"/>
        <v>0</v>
      </c>
      <c r="E28" s="9">
        <v>15.49</v>
      </c>
      <c r="F28" s="9">
        <v>343.0</v>
      </c>
      <c r="G28" s="9">
        <v>343.0</v>
      </c>
      <c r="H28" s="7">
        <f t="shared" si="2"/>
        <v>0</v>
      </c>
      <c r="I28" s="9">
        <v>2.12</v>
      </c>
      <c r="J28" s="9">
        <v>343.0</v>
      </c>
      <c r="K28" s="9">
        <v>343.0</v>
      </c>
      <c r="L28" s="9">
        <v>2.13</v>
      </c>
      <c r="M28" s="13">
        <f t="shared" si="3"/>
        <v>343</v>
      </c>
      <c r="N28" s="13">
        <f t="shared" si="4"/>
        <v>343</v>
      </c>
      <c r="O28" s="7">
        <f t="shared" si="5"/>
        <v>0</v>
      </c>
      <c r="Q28" s="7">
        <f t="shared" si="6"/>
        <v>0</v>
      </c>
      <c r="R28" s="7">
        <f t="shared" si="7"/>
        <v>0</v>
      </c>
      <c r="S28" s="13" t="b">
        <f t="shared" si="8"/>
        <v>1</v>
      </c>
      <c r="T28" s="13">
        <f t="shared" si="9"/>
        <v>15.49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2.12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2.13</v>
      </c>
    </row>
    <row r="29">
      <c r="A29" s="1" t="s">
        <v>34</v>
      </c>
      <c r="B29" s="12">
        <v>328.0</v>
      </c>
      <c r="C29" s="12">
        <v>328.0</v>
      </c>
      <c r="D29" s="7">
        <f t="shared" si="1"/>
        <v>0</v>
      </c>
      <c r="E29" s="9">
        <v>27.1</v>
      </c>
      <c r="F29" s="9">
        <v>328.0</v>
      </c>
      <c r="G29" s="9">
        <v>328.0</v>
      </c>
      <c r="H29" s="7">
        <f t="shared" si="2"/>
        <v>0</v>
      </c>
      <c r="I29" s="9">
        <v>4.23</v>
      </c>
      <c r="J29" s="9">
        <v>328.0</v>
      </c>
      <c r="K29" s="9">
        <v>328.0</v>
      </c>
      <c r="L29" s="9">
        <v>13.78</v>
      </c>
      <c r="M29" s="13">
        <f t="shared" si="3"/>
        <v>328</v>
      </c>
      <c r="N29" s="13">
        <f t="shared" si="4"/>
        <v>328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27.1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4.23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13.78</v>
      </c>
    </row>
    <row r="30">
      <c r="A30" s="1" t="s">
        <v>35</v>
      </c>
      <c r="B30" s="12">
        <v>352.0</v>
      </c>
      <c r="C30" s="12">
        <v>352.0</v>
      </c>
      <c r="D30" s="7">
        <f t="shared" si="1"/>
        <v>0</v>
      </c>
      <c r="E30" s="9">
        <v>7.58</v>
      </c>
      <c r="F30" s="9">
        <v>352.0</v>
      </c>
      <c r="G30" s="9">
        <v>352.0</v>
      </c>
      <c r="H30" s="7">
        <f t="shared" si="2"/>
        <v>0</v>
      </c>
      <c r="I30" s="9">
        <v>1.28</v>
      </c>
      <c r="J30" s="9">
        <v>352.0</v>
      </c>
      <c r="K30" s="9">
        <v>352.0</v>
      </c>
      <c r="L30" s="9">
        <v>0.6</v>
      </c>
      <c r="M30" s="13">
        <f t="shared" si="3"/>
        <v>352</v>
      </c>
      <c r="N30" s="13">
        <f t="shared" si="4"/>
        <v>352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7.58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1.28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0.6</v>
      </c>
    </row>
    <row r="31">
      <c r="A31" s="1" t="s">
        <v>36</v>
      </c>
      <c r="B31" s="12">
        <v>288.0</v>
      </c>
      <c r="C31" s="12">
        <v>288.0</v>
      </c>
      <c r="D31" s="7">
        <f t="shared" si="1"/>
        <v>0</v>
      </c>
      <c r="E31" s="9">
        <v>155.17</v>
      </c>
      <c r="F31" s="9">
        <v>288.0</v>
      </c>
      <c r="G31" s="9">
        <v>288.0</v>
      </c>
      <c r="H31" s="7">
        <f t="shared" si="2"/>
        <v>0</v>
      </c>
      <c r="I31" s="9">
        <v>9.8</v>
      </c>
      <c r="J31" s="9">
        <v>288.0</v>
      </c>
      <c r="K31" s="9">
        <v>288.0</v>
      </c>
      <c r="L31" s="9">
        <v>2.74</v>
      </c>
      <c r="M31" s="13">
        <f t="shared" si="3"/>
        <v>288</v>
      </c>
      <c r="N31" s="13">
        <f t="shared" si="4"/>
        <v>288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155.17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9.8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2.74</v>
      </c>
    </row>
    <row r="32">
      <c r="A32" s="1" t="s">
        <v>37</v>
      </c>
      <c r="B32" s="12">
        <v>446.0</v>
      </c>
      <c r="C32" s="12">
        <v>446.0</v>
      </c>
      <c r="D32" s="7">
        <f t="shared" si="1"/>
        <v>0</v>
      </c>
      <c r="E32" s="9">
        <v>6.78</v>
      </c>
      <c r="F32" s="9">
        <v>446.0</v>
      </c>
      <c r="G32" s="9">
        <v>446.0</v>
      </c>
      <c r="H32" s="7">
        <f t="shared" si="2"/>
        <v>0</v>
      </c>
      <c r="I32" s="9">
        <v>1.01</v>
      </c>
      <c r="J32" s="9">
        <v>446.0</v>
      </c>
      <c r="K32" s="9">
        <v>446.0</v>
      </c>
      <c r="L32" s="9">
        <v>0.62</v>
      </c>
      <c r="M32" s="13">
        <f t="shared" si="3"/>
        <v>446</v>
      </c>
      <c r="N32" s="13">
        <f t="shared" si="4"/>
        <v>446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6.78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1.01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0.62</v>
      </c>
      <c r="AD32" s="7">
        <f t="shared" ref="AD32:AE32" si="18">AVERAGE(Q3:Q32)</f>
        <v>0.002259786477</v>
      </c>
      <c r="AE32" s="7">
        <f t="shared" si="18"/>
        <v>0</v>
      </c>
      <c r="AF32" s="13">
        <f>COUNTIF(S3:S32, "TRUE")</f>
        <v>30</v>
      </c>
      <c r="AG32" s="13">
        <f>COUNTIF(Q3:Q32,"=0")</f>
        <v>28</v>
      </c>
      <c r="AH32" s="13">
        <f t="shared" ref="AH32:AJ32" si="19">AVERAGE(T3:T32)</f>
        <v>328.0706667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2.709</v>
      </c>
      <c r="AN32" s="7">
        <f t="shared" si="20"/>
        <v>0</v>
      </c>
      <c r="AO32" s="7">
        <f t="shared" si="20"/>
        <v>0.0006520193945</v>
      </c>
      <c r="AP32" s="13">
        <f>COUNTIF(AA3:AA32, "TRUE")</f>
        <v>30</v>
      </c>
      <c r="AQ32" s="13">
        <f>AVERAGE(AB3:AB32)</f>
        <v>18.652</v>
      </c>
    </row>
    <row r="33">
      <c r="A33" s="1" t="s">
        <v>38</v>
      </c>
      <c r="B33" s="12">
        <v>1155.0</v>
      </c>
      <c r="C33" s="12">
        <v>1155.0</v>
      </c>
      <c r="D33" s="7">
        <f t="shared" si="1"/>
        <v>0</v>
      </c>
      <c r="E33" s="9">
        <v>2972.22</v>
      </c>
      <c r="F33" s="9">
        <v>1155.0</v>
      </c>
      <c r="G33" s="9">
        <v>1155.0</v>
      </c>
      <c r="H33" s="7">
        <f t="shared" si="2"/>
        <v>0</v>
      </c>
      <c r="I33" s="9">
        <v>74.5</v>
      </c>
      <c r="J33" s="9">
        <v>1155.0</v>
      </c>
      <c r="K33" s="9">
        <v>1151.8</v>
      </c>
      <c r="L33" s="9">
        <v>101.78</v>
      </c>
      <c r="M33" s="13">
        <f t="shared" si="3"/>
        <v>1155</v>
      </c>
      <c r="N33" s="13">
        <f t="shared" si="4"/>
        <v>1155</v>
      </c>
      <c r="O33" s="7">
        <f t="shared" si="5"/>
        <v>0</v>
      </c>
      <c r="Q33" s="7">
        <f t="shared" si="6"/>
        <v>0</v>
      </c>
      <c r="R33" s="7">
        <f t="shared" si="7"/>
        <v>0</v>
      </c>
      <c r="S33" s="13" t="b">
        <f t="shared" si="8"/>
        <v>1</v>
      </c>
      <c r="T33" s="13">
        <f t="shared" si="9"/>
        <v>2972.22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74.5</v>
      </c>
      <c r="Y33" s="7">
        <f t="shared" si="14"/>
        <v>0</v>
      </c>
      <c r="Z33" s="7">
        <f t="shared" si="15"/>
        <v>0.002778260115</v>
      </c>
      <c r="AA33" s="13" t="b">
        <f t="shared" si="16"/>
        <v>1</v>
      </c>
      <c r="AB33" s="13">
        <f t="shared" si="17"/>
        <v>101.78</v>
      </c>
    </row>
    <row r="34">
      <c r="A34" s="1" t="s">
        <v>39</v>
      </c>
      <c r="B34" s="12">
        <v>1315.0</v>
      </c>
      <c r="C34" s="12">
        <v>1348.0</v>
      </c>
      <c r="D34" s="7">
        <f t="shared" si="1"/>
        <v>0.02509505703</v>
      </c>
      <c r="E34" s="9">
        <v>3600.0</v>
      </c>
      <c r="F34" s="9">
        <v>1342.0</v>
      </c>
      <c r="G34" s="9">
        <v>1342.0</v>
      </c>
      <c r="H34" s="7">
        <f t="shared" si="2"/>
        <v>0</v>
      </c>
      <c r="I34" s="9">
        <v>78.38</v>
      </c>
      <c r="J34" s="9">
        <v>1342.0</v>
      </c>
      <c r="K34" s="9">
        <v>1340.0</v>
      </c>
      <c r="L34" s="9">
        <v>83.05</v>
      </c>
      <c r="M34" s="13">
        <f t="shared" si="3"/>
        <v>1342</v>
      </c>
      <c r="N34" s="13">
        <f t="shared" si="4"/>
        <v>1342</v>
      </c>
      <c r="O34" s="7">
        <f t="shared" si="5"/>
        <v>0</v>
      </c>
      <c r="Q34" s="7">
        <f t="shared" si="6"/>
        <v>0.02509505703</v>
      </c>
      <c r="R34" s="7">
        <f t="shared" si="7"/>
        <v>0.02053231939</v>
      </c>
      <c r="S34" s="13" t="b">
        <f t="shared" si="8"/>
        <v>0</v>
      </c>
      <c r="T34" s="13">
        <f t="shared" si="9"/>
        <v>3600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78.38</v>
      </c>
      <c r="Y34" s="7">
        <f t="shared" si="14"/>
        <v>0</v>
      </c>
      <c r="Z34" s="7">
        <f t="shared" si="15"/>
        <v>0.001492537313</v>
      </c>
      <c r="AA34" s="13" t="b">
        <f t="shared" si="16"/>
        <v>1</v>
      </c>
      <c r="AB34" s="13">
        <f t="shared" si="17"/>
        <v>83.05</v>
      </c>
    </row>
    <row r="35">
      <c r="A35" s="1" t="s">
        <v>40</v>
      </c>
      <c r="B35" s="12">
        <v>1703.0</v>
      </c>
      <c r="C35" s="12">
        <v>1980.0</v>
      </c>
      <c r="D35" s="7">
        <f t="shared" si="1"/>
        <v>0.1626541398</v>
      </c>
      <c r="E35" s="9">
        <v>3600.0</v>
      </c>
      <c r="F35" s="9">
        <v>1704.0</v>
      </c>
      <c r="G35" s="9">
        <v>1712.0</v>
      </c>
      <c r="H35" s="7">
        <f t="shared" si="2"/>
        <v>0.004694835681</v>
      </c>
      <c r="I35" s="9">
        <v>3600.0</v>
      </c>
      <c r="J35" s="9">
        <v>1704.0</v>
      </c>
      <c r="K35" s="9">
        <v>1704.0</v>
      </c>
      <c r="L35" s="9">
        <v>82.04</v>
      </c>
      <c r="M35" s="13">
        <f t="shared" si="3"/>
        <v>1704</v>
      </c>
      <c r="N35" s="13">
        <f t="shared" si="4"/>
        <v>1712</v>
      </c>
      <c r="O35" s="7">
        <f t="shared" si="5"/>
        <v>0.004694835681</v>
      </c>
      <c r="Q35" s="7">
        <f t="shared" si="6"/>
        <v>0.1626541398</v>
      </c>
      <c r="R35" s="7">
        <f t="shared" si="7"/>
        <v>0.0005871990605</v>
      </c>
      <c r="S35" s="13" t="b">
        <f t="shared" si="8"/>
        <v>0</v>
      </c>
      <c r="T35" s="13">
        <f t="shared" si="9"/>
        <v>3600</v>
      </c>
      <c r="U35" s="7">
        <f t="shared" si="10"/>
        <v>0.004694835681</v>
      </c>
      <c r="V35" s="7">
        <f t="shared" si="11"/>
        <v>0</v>
      </c>
      <c r="W35" s="13" t="b">
        <f t="shared" si="12"/>
        <v>1</v>
      </c>
      <c r="X35" s="13">
        <f t="shared" si="13"/>
        <v>3600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82.04</v>
      </c>
    </row>
    <row r="36">
      <c r="A36" s="1" t="s">
        <v>41</v>
      </c>
      <c r="B36" s="12">
        <v>2216.0</v>
      </c>
      <c r="C36" s="12">
        <v>2231.0</v>
      </c>
      <c r="D36" s="7">
        <f t="shared" si="1"/>
        <v>0.006768953069</v>
      </c>
      <c r="E36" s="9">
        <v>3600.0</v>
      </c>
      <c r="F36" s="9">
        <v>2216.0</v>
      </c>
      <c r="G36" s="9">
        <v>2216.0</v>
      </c>
      <c r="H36" s="7">
        <f t="shared" si="2"/>
        <v>0</v>
      </c>
      <c r="I36" s="9">
        <v>520.22</v>
      </c>
      <c r="J36" s="9">
        <v>2216.0</v>
      </c>
      <c r="K36" s="9">
        <v>2216.0</v>
      </c>
      <c r="L36" s="9">
        <v>5.18</v>
      </c>
      <c r="M36" s="13">
        <f t="shared" si="3"/>
        <v>2216</v>
      </c>
      <c r="N36" s="13">
        <f t="shared" si="4"/>
        <v>2216</v>
      </c>
      <c r="O36" s="7">
        <f t="shared" si="5"/>
        <v>0</v>
      </c>
      <c r="Q36" s="7">
        <f t="shared" si="6"/>
        <v>0.006768953069</v>
      </c>
      <c r="R36" s="7">
        <f t="shared" si="7"/>
        <v>0</v>
      </c>
      <c r="S36" s="13" t="b">
        <f t="shared" si="8"/>
        <v>1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520.22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5.18</v>
      </c>
    </row>
    <row r="37">
      <c r="A37" s="1" t="s">
        <v>42</v>
      </c>
      <c r="B37" s="12">
        <v>2162.0</v>
      </c>
      <c r="C37" s="12">
        <v>2221.0</v>
      </c>
      <c r="D37" s="7">
        <f t="shared" si="1"/>
        <v>0.02728954672</v>
      </c>
      <c r="E37" s="9">
        <v>3600.0</v>
      </c>
      <c r="F37" s="9">
        <v>2171.0</v>
      </c>
      <c r="G37" s="9">
        <v>2171.0</v>
      </c>
      <c r="H37" s="7">
        <f t="shared" si="2"/>
        <v>0</v>
      </c>
      <c r="I37" s="9">
        <v>224.94</v>
      </c>
      <c r="J37" s="9">
        <v>2171.0</v>
      </c>
      <c r="K37" s="9">
        <v>2170.4</v>
      </c>
      <c r="L37" s="9">
        <v>101.42</v>
      </c>
      <c r="M37" s="13">
        <f t="shared" si="3"/>
        <v>2171</v>
      </c>
      <c r="N37" s="13">
        <f t="shared" si="4"/>
        <v>2171</v>
      </c>
      <c r="O37" s="7">
        <f t="shared" si="5"/>
        <v>0</v>
      </c>
      <c r="Q37" s="7">
        <f t="shared" si="6"/>
        <v>0.02728954672</v>
      </c>
      <c r="R37" s="7">
        <f t="shared" si="7"/>
        <v>0.004162812211</v>
      </c>
      <c r="S37" s="13" t="b">
        <f t="shared" si="8"/>
        <v>0</v>
      </c>
      <c r="T37" s="13">
        <f t="shared" si="9"/>
        <v>3600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224.94</v>
      </c>
      <c r="Y37" s="7">
        <f t="shared" si="14"/>
        <v>0</v>
      </c>
      <c r="Z37" s="7">
        <f t="shared" si="15"/>
        <v>0.0002764467379</v>
      </c>
      <c r="AA37" s="13" t="b">
        <f t="shared" si="16"/>
        <v>1</v>
      </c>
      <c r="AB37" s="13">
        <f t="shared" si="17"/>
        <v>101.42</v>
      </c>
    </row>
    <row r="38">
      <c r="A38" s="1" t="s">
        <v>43</v>
      </c>
      <c r="B38" s="12">
        <v>2860.0</v>
      </c>
      <c r="C38" s="12">
        <v>2860.0</v>
      </c>
      <c r="D38" s="7">
        <f t="shared" si="1"/>
        <v>0</v>
      </c>
      <c r="E38" s="9">
        <v>1145.42</v>
      </c>
      <c r="F38" s="9">
        <v>2860.0</v>
      </c>
      <c r="G38" s="9">
        <v>2860.0</v>
      </c>
      <c r="H38" s="7">
        <f t="shared" si="2"/>
        <v>0</v>
      </c>
      <c r="I38" s="9">
        <v>140.52</v>
      </c>
      <c r="J38" s="9">
        <v>2860.0</v>
      </c>
      <c r="K38" s="9">
        <v>2860.0</v>
      </c>
      <c r="L38" s="9">
        <v>35.76</v>
      </c>
      <c r="M38" s="13">
        <f t="shared" si="3"/>
        <v>2860</v>
      </c>
      <c r="N38" s="13">
        <f t="shared" si="4"/>
        <v>2860</v>
      </c>
      <c r="O38" s="7">
        <f t="shared" si="5"/>
        <v>0</v>
      </c>
      <c r="Q38" s="7">
        <f t="shared" si="6"/>
        <v>0</v>
      </c>
      <c r="R38" s="7">
        <f t="shared" si="7"/>
        <v>0</v>
      </c>
      <c r="S38" s="13" t="b">
        <f t="shared" si="8"/>
        <v>1</v>
      </c>
      <c r="T38" s="13">
        <f t="shared" si="9"/>
        <v>1145.42</v>
      </c>
      <c r="U38" s="7">
        <f t="shared" si="10"/>
        <v>0</v>
      </c>
      <c r="V38" s="7">
        <f t="shared" si="11"/>
        <v>0</v>
      </c>
      <c r="W38" s="13" t="b">
        <f t="shared" si="12"/>
        <v>1</v>
      </c>
      <c r="X38" s="13">
        <f t="shared" si="13"/>
        <v>140.52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35.76</v>
      </c>
    </row>
    <row r="39">
      <c r="A39" s="1" t="s">
        <v>44</v>
      </c>
      <c r="B39" s="12">
        <v>3088.0</v>
      </c>
      <c r="C39" s="12">
        <v>3198.0</v>
      </c>
      <c r="D39" s="7">
        <f t="shared" si="1"/>
        <v>0.03562176166</v>
      </c>
      <c r="E39" s="9">
        <v>3600.0</v>
      </c>
      <c r="F39" s="9">
        <v>3125.0</v>
      </c>
      <c r="G39" s="9">
        <v>3125.0</v>
      </c>
      <c r="H39" s="7">
        <f t="shared" si="2"/>
        <v>0</v>
      </c>
      <c r="I39" s="9">
        <v>1181.93</v>
      </c>
      <c r="J39" s="9">
        <v>3125.0</v>
      </c>
      <c r="K39" s="9">
        <v>3122.6</v>
      </c>
      <c r="L39" s="9">
        <v>116.53</v>
      </c>
      <c r="M39" s="13">
        <f t="shared" si="3"/>
        <v>3125</v>
      </c>
      <c r="N39" s="13">
        <f t="shared" si="4"/>
        <v>3125</v>
      </c>
      <c r="O39" s="7">
        <f t="shared" si="5"/>
        <v>0</v>
      </c>
      <c r="Q39" s="7">
        <f t="shared" si="6"/>
        <v>0.03562176166</v>
      </c>
      <c r="R39" s="7">
        <f t="shared" si="7"/>
        <v>0.01198186528</v>
      </c>
      <c r="S39" s="13" t="b">
        <f t="shared" si="8"/>
        <v>0</v>
      </c>
      <c r="T39" s="13">
        <f t="shared" si="9"/>
        <v>3600</v>
      </c>
      <c r="U39" s="7">
        <f t="shared" si="10"/>
        <v>0</v>
      </c>
      <c r="V39" s="7">
        <f t="shared" si="11"/>
        <v>0</v>
      </c>
      <c r="W39" s="13" t="b">
        <f t="shared" si="12"/>
        <v>1</v>
      </c>
      <c r="X39" s="13">
        <f t="shared" si="13"/>
        <v>1181.93</v>
      </c>
      <c r="Y39" s="7">
        <f t="shared" si="14"/>
        <v>0</v>
      </c>
      <c r="Z39" s="7">
        <f t="shared" si="15"/>
        <v>0.0007685902773</v>
      </c>
      <c r="AA39" s="13" t="b">
        <f t="shared" si="16"/>
        <v>1</v>
      </c>
      <c r="AB39" s="13">
        <f t="shared" si="17"/>
        <v>116.53</v>
      </c>
    </row>
    <row r="40">
      <c r="A40" s="1" t="s">
        <v>45</v>
      </c>
      <c r="B40" s="12">
        <v>3182.0</v>
      </c>
      <c r="C40" s="12">
        <v>3182.0</v>
      </c>
      <c r="D40" s="7">
        <f t="shared" si="1"/>
        <v>0</v>
      </c>
      <c r="E40" s="9">
        <v>3570.13</v>
      </c>
      <c r="F40" s="9">
        <v>3182.0</v>
      </c>
      <c r="G40" s="9">
        <v>3182.0</v>
      </c>
      <c r="H40" s="7">
        <f t="shared" si="2"/>
        <v>0</v>
      </c>
      <c r="I40" s="9">
        <v>195.86</v>
      </c>
      <c r="J40" s="9">
        <v>3182.0</v>
      </c>
      <c r="K40" s="9">
        <v>3182.0</v>
      </c>
      <c r="L40" s="9">
        <v>30.79</v>
      </c>
      <c r="M40" s="13">
        <f t="shared" si="3"/>
        <v>3182</v>
      </c>
      <c r="N40" s="13">
        <f t="shared" si="4"/>
        <v>3182</v>
      </c>
      <c r="O40" s="7">
        <f t="shared" si="5"/>
        <v>0</v>
      </c>
      <c r="Q40" s="7">
        <f t="shared" si="6"/>
        <v>0</v>
      </c>
      <c r="R40" s="7">
        <f t="shared" si="7"/>
        <v>0</v>
      </c>
      <c r="S40" s="13" t="b">
        <f t="shared" si="8"/>
        <v>1</v>
      </c>
      <c r="T40" s="13">
        <f t="shared" si="9"/>
        <v>3570.13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195.86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30.79</v>
      </c>
    </row>
    <row r="41">
      <c r="A41" s="1" t="s">
        <v>46</v>
      </c>
      <c r="B41" s="12">
        <v>3352.0</v>
      </c>
      <c r="C41" s="12">
        <v>3578.0</v>
      </c>
      <c r="D41" s="7">
        <f t="shared" si="1"/>
        <v>0.06742243437</v>
      </c>
      <c r="E41" s="9">
        <v>3600.0</v>
      </c>
      <c r="F41" s="9">
        <v>3396.0</v>
      </c>
      <c r="G41" s="9">
        <v>3433.0</v>
      </c>
      <c r="H41" s="7">
        <f t="shared" si="2"/>
        <v>0.01089517079</v>
      </c>
      <c r="I41" s="9">
        <v>3600.0</v>
      </c>
      <c r="J41" s="9">
        <v>3396.0</v>
      </c>
      <c r="K41" s="9">
        <v>3396.0</v>
      </c>
      <c r="L41" s="9">
        <v>29.15</v>
      </c>
      <c r="M41" s="13">
        <f t="shared" si="3"/>
        <v>3396</v>
      </c>
      <c r="N41" s="13">
        <f t="shared" si="4"/>
        <v>3433</v>
      </c>
      <c r="O41" s="7">
        <f t="shared" si="5"/>
        <v>0.01089517079</v>
      </c>
      <c r="Q41" s="7">
        <f t="shared" si="6"/>
        <v>0.06742243437</v>
      </c>
      <c r="R41" s="7">
        <f t="shared" si="7"/>
        <v>0.01312649165</v>
      </c>
      <c r="S41" s="13" t="b">
        <f t="shared" si="8"/>
        <v>0</v>
      </c>
      <c r="T41" s="13">
        <f t="shared" si="9"/>
        <v>3600</v>
      </c>
      <c r="U41" s="7">
        <f t="shared" si="10"/>
        <v>0.01089517079</v>
      </c>
      <c r="V41" s="7">
        <f t="shared" si="11"/>
        <v>0</v>
      </c>
      <c r="W41" s="13" t="b">
        <f t="shared" si="12"/>
        <v>1</v>
      </c>
      <c r="X41" s="13">
        <f t="shared" si="13"/>
        <v>3600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29.15</v>
      </c>
    </row>
    <row r="42">
      <c r="A42" s="1" t="s">
        <v>47</v>
      </c>
      <c r="B42" s="12">
        <v>3912.0</v>
      </c>
      <c r="C42" s="12">
        <v>4004.0</v>
      </c>
      <c r="D42" s="7">
        <f t="shared" si="1"/>
        <v>0.02351738241</v>
      </c>
      <c r="E42" s="9">
        <v>3600.0</v>
      </c>
      <c r="F42" s="9">
        <v>3976.0</v>
      </c>
      <c r="G42" s="9">
        <v>3976.0</v>
      </c>
      <c r="H42" s="7">
        <f t="shared" si="2"/>
        <v>0</v>
      </c>
      <c r="I42" s="9">
        <v>871.79</v>
      </c>
      <c r="J42" s="9">
        <v>3954.0</v>
      </c>
      <c r="K42" s="9">
        <v>3946.0</v>
      </c>
      <c r="L42" s="9">
        <v>163.19</v>
      </c>
      <c r="M42" s="13">
        <f t="shared" si="3"/>
        <v>3976</v>
      </c>
      <c r="N42" s="13">
        <f t="shared" si="4"/>
        <v>3976</v>
      </c>
      <c r="O42" s="7">
        <f t="shared" si="5"/>
        <v>0</v>
      </c>
      <c r="Q42" s="7">
        <f t="shared" si="6"/>
        <v>0.02351738241</v>
      </c>
      <c r="R42" s="7">
        <f t="shared" si="7"/>
        <v>0.0163599182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871.79</v>
      </c>
      <c r="Y42" s="7">
        <f t="shared" si="14"/>
        <v>0.005563985837</v>
      </c>
      <c r="Z42" s="7">
        <f t="shared" si="15"/>
        <v>0.00760263558</v>
      </c>
      <c r="AA42" s="13" t="b">
        <f t="shared" si="16"/>
        <v>0</v>
      </c>
      <c r="AB42" s="13">
        <f t="shared" si="17"/>
        <v>163.19</v>
      </c>
    </row>
    <row r="43">
      <c r="A43" s="1" t="s">
        <v>48</v>
      </c>
      <c r="B43" s="12">
        <v>4728.0</v>
      </c>
      <c r="C43" s="12">
        <v>4794.0</v>
      </c>
      <c r="D43" s="7">
        <f t="shared" si="1"/>
        <v>0.01395939086</v>
      </c>
      <c r="E43" s="9">
        <v>3600.0</v>
      </c>
      <c r="F43" s="9">
        <v>4792.0</v>
      </c>
      <c r="G43" s="9">
        <v>4792.0</v>
      </c>
      <c r="H43" s="7">
        <f t="shared" si="2"/>
        <v>0</v>
      </c>
      <c r="I43" s="9">
        <v>206.47</v>
      </c>
      <c r="J43" s="9">
        <v>4792.0</v>
      </c>
      <c r="K43" s="9">
        <v>4790.9</v>
      </c>
      <c r="L43" s="9">
        <v>388.23</v>
      </c>
      <c r="M43" s="13">
        <f t="shared" si="3"/>
        <v>4792</v>
      </c>
      <c r="N43" s="13">
        <f t="shared" si="4"/>
        <v>4792</v>
      </c>
      <c r="O43" s="7">
        <f t="shared" si="5"/>
        <v>0</v>
      </c>
      <c r="Q43" s="7">
        <f t="shared" si="6"/>
        <v>0.01395939086</v>
      </c>
      <c r="R43" s="7">
        <f t="shared" si="7"/>
        <v>0.01353637902</v>
      </c>
      <c r="S43" s="13" t="b">
        <f t="shared" si="8"/>
        <v>0</v>
      </c>
      <c r="T43" s="13">
        <f t="shared" si="9"/>
        <v>3600</v>
      </c>
      <c r="U43" s="7">
        <f t="shared" si="10"/>
        <v>0</v>
      </c>
      <c r="V43" s="7">
        <f t="shared" si="11"/>
        <v>0</v>
      </c>
      <c r="W43" s="13" t="b">
        <f t="shared" si="12"/>
        <v>1</v>
      </c>
      <c r="X43" s="13">
        <f t="shared" si="13"/>
        <v>206.47</v>
      </c>
      <c r="Y43" s="7">
        <f t="shared" si="14"/>
        <v>0</v>
      </c>
      <c r="Z43" s="7">
        <f t="shared" si="15"/>
        <v>0.0002296019537</v>
      </c>
      <c r="AA43" s="13" t="b">
        <f t="shared" si="16"/>
        <v>1</v>
      </c>
      <c r="AB43" s="13">
        <f t="shared" si="17"/>
        <v>388.23</v>
      </c>
    </row>
    <row r="44">
      <c r="A44" s="1" t="s">
        <v>49</v>
      </c>
      <c r="B44" s="12">
        <v>4860.0</v>
      </c>
      <c r="C44" s="12">
        <v>4894.0</v>
      </c>
      <c r="D44" s="7">
        <f t="shared" si="1"/>
        <v>0.006995884774</v>
      </c>
      <c r="E44" s="9">
        <v>3600.0</v>
      </c>
      <c r="F44" s="9">
        <v>4886.0</v>
      </c>
      <c r="G44" s="9">
        <v>4886.0</v>
      </c>
      <c r="H44" s="7">
        <f t="shared" si="2"/>
        <v>0</v>
      </c>
      <c r="I44" s="9">
        <v>124.07</v>
      </c>
      <c r="J44" s="9">
        <v>4882.0</v>
      </c>
      <c r="K44" s="9">
        <v>4882.0</v>
      </c>
      <c r="L44" s="9">
        <v>131.09</v>
      </c>
      <c r="M44" s="13">
        <f t="shared" si="3"/>
        <v>4886</v>
      </c>
      <c r="N44" s="13">
        <f t="shared" si="4"/>
        <v>4886</v>
      </c>
      <c r="O44" s="7">
        <f t="shared" si="5"/>
        <v>0</v>
      </c>
      <c r="Q44" s="7">
        <f t="shared" si="6"/>
        <v>0.006995884774</v>
      </c>
      <c r="R44" s="7">
        <f t="shared" si="7"/>
        <v>0.005349794239</v>
      </c>
      <c r="S44" s="13" t="b">
        <f t="shared" si="8"/>
        <v>0</v>
      </c>
      <c r="T44" s="13">
        <f t="shared" si="9"/>
        <v>3600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124.07</v>
      </c>
      <c r="Y44" s="7">
        <f t="shared" si="14"/>
        <v>0.0008193363376</v>
      </c>
      <c r="Z44" s="7">
        <f t="shared" si="15"/>
        <v>0.0008193363376</v>
      </c>
      <c r="AA44" s="13" t="b">
        <f t="shared" si="16"/>
        <v>0</v>
      </c>
      <c r="AB44" s="13">
        <f t="shared" si="17"/>
        <v>131.09</v>
      </c>
    </row>
    <row r="45">
      <c r="A45" s="1" t="s">
        <v>50</v>
      </c>
      <c r="B45" s="12">
        <v>5155.0</v>
      </c>
      <c r="C45" s="12">
        <v>5312.0</v>
      </c>
      <c r="D45" s="7">
        <f t="shared" si="1"/>
        <v>0.03045586809</v>
      </c>
      <c r="E45" s="9">
        <v>3600.0</v>
      </c>
      <c r="F45" s="9">
        <v>5295.0</v>
      </c>
      <c r="G45" s="9">
        <v>5295.0</v>
      </c>
      <c r="H45" s="7">
        <f t="shared" si="2"/>
        <v>0</v>
      </c>
      <c r="I45" s="9">
        <v>736.77</v>
      </c>
      <c r="J45" s="9">
        <v>5295.0</v>
      </c>
      <c r="K45" s="9">
        <v>5294.3</v>
      </c>
      <c r="L45" s="9">
        <v>647.21</v>
      </c>
      <c r="M45" s="13">
        <f t="shared" si="3"/>
        <v>5295</v>
      </c>
      <c r="N45" s="13">
        <f t="shared" si="4"/>
        <v>5295</v>
      </c>
      <c r="O45" s="7">
        <f t="shared" si="5"/>
        <v>0</v>
      </c>
      <c r="Q45" s="7">
        <f t="shared" si="6"/>
        <v>0.03045586809</v>
      </c>
      <c r="R45" s="7">
        <f t="shared" si="7"/>
        <v>0.02715809893</v>
      </c>
      <c r="S45" s="13" t="b">
        <f t="shared" si="8"/>
        <v>0</v>
      </c>
      <c r="T45" s="13">
        <f t="shared" si="9"/>
        <v>3600</v>
      </c>
      <c r="U45" s="7">
        <f t="shared" si="10"/>
        <v>0</v>
      </c>
      <c r="V45" s="7">
        <f t="shared" si="11"/>
        <v>0</v>
      </c>
      <c r="W45" s="13" t="b">
        <f t="shared" si="12"/>
        <v>1</v>
      </c>
      <c r="X45" s="13">
        <f t="shared" si="13"/>
        <v>736.77</v>
      </c>
      <c r="Y45" s="7">
        <f t="shared" si="14"/>
        <v>0</v>
      </c>
      <c r="Z45" s="7">
        <f t="shared" si="15"/>
        <v>0.0001322176681</v>
      </c>
      <c r="AA45" s="13" t="b">
        <f t="shared" si="16"/>
        <v>1</v>
      </c>
      <c r="AB45" s="13">
        <f t="shared" si="17"/>
        <v>647.21</v>
      </c>
    </row>
    <row r="46">
      <c r="A46" s="1" t="s">
        <v>51</v>
      </c>
      <c r="B46" s="12">
        <v>4426.0</v>
      </c>
      <c r="C46" s="12">
        <v>5416.0</v>
      </c>
      <c r="D46" s="7">
        <f t="shared" si="1"/>
        <v>0.2236782648</v>
      </c>
      <c r="E46" s="9">
        <v>3600.0</v>
      </c>
      <c r="F46" s="9">
        <v>4538.0</v>
      </c>
      <c r="G46" s="9">
        <v>4977.0</v>
      </c>
      <c r="H46" s="7">
        <f t="shared" si="2"/>
        <v>0.09673865139</v>
      </c>
      <c r="I46" s="9">
        <v>3600.0</v>
      </c>
      <c r="J46" s="9">
        <v>4538.0</v>
      </c>
      <c r="K46" s="9">
        <v>4537.1</v>
      </c>
      <c r="L46" s="9">
        <v>246.19</v>
      </c>
      <c r="M46" s="13">
        <f t="shared" si="3"/>
        <v>4538</v>
      </c>
      <c r="N46" s="13">
        <f t="shared" si="4"/>
        <v>4977</v>
      </c>
      <c r="O46" s="7">
        <f t="shared" si="5"/>
        <v>0.09673865139</v>
      </c>
      <c r="Q46" s="7">
        <f t="shared" si="6"/>
        <v>0.2236782648</v>
      </c>
      <c r="R46" s="7">
        <f t="shared" si="7"/>
        <v>0.02530501582</v>
      </c>
      <c r="S46" s="13" t="b">
        <f t="shared" si="8"/>
        <v>0</v>
      </c>
      <c r="T46" s="13">
        <f t="shared" si="9"/>
        <v>3600</v>
      </c>
      <c r="U46" s="7">
        <f t="shared" si="10"/>
        <v>0.09673865139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0.0001983645941</v>
      </c>
      <c r="AA46" s="13" t="b">
        <f t="shared" si="16"/>
        <v>1</v>
      </c>
      <c r="AB46" s="13">
        <f t="shared" si="17"/>
        <v>246.19</v>
      </c>
    </row>
    <row r="47">
      <c r="A47" s="1" t="s">
        <v>52</v>
      </c>
      <c r="B47" s="12">
        <v>4968.0</v>
      </c>
      <c r="C47" s="12">
        <v>5659.0</v>
      </c>
      <c r="D47" s="7">
        <f t="shared" si="1"/>
        <v>0.1390901771</v>
      </c>
      <c r="E47" s="9">
        <v>3600.0</v>
      </c>
      <c r="F47" s="9">
        <v>5036.0</v>
      </c>
      <c r="G47" s="9">
        <v>5118.0</v>
      </c>
      <c r="H47" s="7">
        <f t="shared" si="2"/>
        <v>0.0162827641</v>
      </c>
      <c r="I47" s="9">
        <v>3600.0</v>
      </c>
      <c r="J47" s="9">
        <v>5036.0</v>
      </c>
      <c r="K47" s="9">
        <v>5015.9</v>
      </c>
      <c r="L47" s="9">
        <v>484.15</v>
      </c>
      <c r="M47" s="13">
        <f t="shared" si="3"/>
        <v>5036</v>
      </c>
      <c r="N47" s="13">
        <f t="shared" si="4"/>
        <v>5118</v>
      </c>
      <c r="O47" s="7">
        <f t="shared" si="5"/>
        <v>0.0162827641</v>
      </c>
      <c r="Q47" s="7">
        <f t="shared" si="6"/>
        <v>0.1390901771</v>
      </c>
      <c r="R47" s="7">
        <f t="shared" si="7"/>
        <v>0.01368760064</v>
      </c>
      <c r="S47" s="13" t="b">
        <f t="shared" si="8"/>
        <v>0</v>
      </c>
      <c r="T47" s="13">
        <f t="shared" si="9"/>
        <v>3600</v>
      </c>
      <c r="U47" s="7">
        <f t="shared" si="10"/>
        <v>0.0162827641</v>
      </c>
      <c r="V47" s="7">
        <f t="shared" si="11"/>
        <v>0</v>
      </c>
      <c r="W47" s="13" t="b">
        <f t="shared" si="12"/>
        <v>1</v>
      </c>
      <c r="X47" s="13">
        <f t="shared" si="13"/>
        <v>3600</v>
      </c>
      <c r="Y47" s="7">
        <f t="shared" si="14"/>
        <v>0</v>
      </c>
      <c r="Z47" s="7">
        <f t="shared" si="15"/>
        <v>0.004007256923</v>
      </c>
      <c r="AA47" s="13" t="b">
        <f t="shared" si="16"/>
        <v>1</v>
      </c>
      <c r="AB47" s="13">
        <f t="shared" si="17"/>
        <v>484.15</v>
      </c>
    </row>
    <row r="48">
      <c r="A48" s="1" t="s">
        <v>53</v>
      </c>
      <c r="B48" s="12">
        <v>6402.0</v>
      </c>
      <c r="C48" s="12">
        <v>6477.0</v>
      </c>
      <c r="D48" s="7">
        <f t="shared" si="1"/>
        <v>0.01171508903</v>
      </c>
      <c r="E48" s="9">
        <v>3600.0</v>
      </c>
      <c r="F48" s="9">
        <v>6439.0</v>
      </c>
      <c r="G48" s="9">
        <v>6439.0</v>
      </c>
      <c r="H48" s="7">
        <f t="shared" si="2"/>
        <v>0</v>
      </c>
      <c r="I48" s="9">
        <v>614.05</v>
      </c>
      <c r="J48" s="9">
        <v>6407.0</v>
      </c>
      <c r="K48" s="9">
        <v>6404.1</v>
      </c>
      <c r="L48" s="9">
        <v>490.08</v>
      </c>
      <c r="M48" s="13">
        <f t="shared" si="3"/>
        <v>6439</v>
      </c>
      <c r="N48" s="13">
        <f t="shared" si="4"/>
        <v>6439</v>
      </c>
      <c r="O48" s="7">
        <f t="shared" si="5"/>
        <v>0</v>
      </c>
      <c r="Q48" s="7">
        <f t="shared" si="6"/>
        <v>0.01171508903</v>
      </c>
      <c r="R48" s="7">
        <f t="shared" si="7"/>
        <v>0.005779443924</v>
      </c>
      <c r="S48" s="13" t="b">
        <f t="shared" si="8"/>
        <v>0</v>
      </c>
      <c r="T48" s="13">
        <f t="shared" si="9"/>
        <v>3600</v>
      </c>
      <c r="U48" s="7">
        <f t="shared" si="10"/>
        <v>0</v>
      </c>
      <c r="V48" s="7">
        <f t="shared" si="11"/>
        <v>0</v>
      </c>
      <c r="W48" s="13" t="b">
        <f t="shared" si="12"/>
        <v>1</v>
      </c>
      <c r="X48" s="13">
        <f t="shared" si="13"/>
        <v>614.05</v>
      </c>
      <c r="Y48" s="7">
        <f t="shared" si="14"/>
        <v>0.004994537225</v>
      </c>
      <c r="Z48" s="7">
        <f t="shared" si="15"/>
        <v>0.005449633828</v>
      </c>
      <c r="AA48" s="13" t="b">
        <f t="shared" si="16"/>
        <v>0</v>
      </c>
      <c r="AB48" s="13">
        <f t="shared" si="17"/>
        <v>490.08</v>
      </c>
    </row>
    <row r="49">
      <c r="A49" s="1" t="s">
        <v>54</v>
      </c>
      <c r="B49" s="12">
        <v>7192.0</v>
      </c>
      <c r="C49" s="12">
        <v>7231.0</v>
      </c>
      <c r="D49" s="7">
        <f t="shared" si="1"/>
        <v>0.00542269188</v>
      </c>
      <c r="E49" s="9">
        <v>3600.0</v>
      </c>
      <c r="F49" s="9">
        <v>7227.0</v>
      </c>
      <c r="G49" s="9">
        <v>7230.0</v>
      </c>
      <c r="H49" s="7">
        <f t="shared" si="2"/>
        <v>0.0004151100042</v>
      </c>
      <c r="I49" s="9">
        <v>3600.0</v>
      </c>
      <c r="J49" s="9">
        <v>7228.0</v>
      </c>
      <c r="K49" s="9">
        <v>7227.5</v>
      </c>
      <c r="L49" s="9">
        <v>1454.04</v>
      </c>
      <c r="M49" s="13">
        <f t="shared" si="3"/>
        <v>7228</v>
      </c>
      <c r="N49" s="13">
        <f t="shared" si="4"/>
        <v>7230</v>
      </c>
      <c r="O49" s="7">
        <f t="shared" si="5"/>
        <v>0.0002767017156</v>
      </c>
      <c r="Q49" s="7">
        <f t="shared" si="6"/>
        <v>0.00542269188</v>
      </c>
      <c r="R49" s="7">
        <f t="shared" si="7"/>
        <v>0.005005561735</v>
      </c>
      <c r="S49" s="13" t="b">
        <f t="shared" si="8"/>
        <v>0</v>
      </c>
      <c r="T49" s="13">
        <f t="shared" si="9"/>
        <v>3600</v>
      </c>
      <c r="U49" s="7">
        <f t="shared" si="10"/>
        <v>0.0004151100042</v>
      </c>
      <c r="V49" s="7">
        <f t="shared" si="11"/>
        <v>0.0001383700014</v>
      </c>
      <c r="W49" s="13" t="b">
        <f t="shared" si="12"/>
        <v>0</v>
      </c>
      <c r="X49" s="13">
        <f t="shared" si="13"/>
        <v>3600</v>
      </c>
      <c r="Y49" s="7">
        <f t="shared" si="14"/>
        <v>0</v>
      </c>
      <c r="Z49" s="7">
        <f t="shared" si="15"/>
        <v>0.00006918021446</v>
      </c>
      <c r="AA49" s="13" t="b">
        <f t="shared" si="16"/>
        <v>1</v>
      </c>
      <c r="AB49" s="13">
        <f t="shared" si="17"/>
        <v>1454.04</v>
      </c>
    </row>
    <row r="50">
      <c r="A50" s="1" t="s">
        <v>55</v>
      </c>
      <c r="B50" s="12">
        <v>7264.0</v>
      </c>
      <c r="C50" s="12">
        <v>7814.0</v>
      </c>
      <c r="D50" s="7">
        <f t="shared" si="1"/>
        <v>0.07571585903</v>
      </c>
      <c r="E50" s="9">
        <v>3600.0</v>
      </c>
      <c r="F50" s="9">
        <v>7653.0</v>
      </c>
      <c r="G50" s="9">
        <v>7698.0</v>
      </c>
      <c r="H50" s="7">
        <f t="shared" si="2"/>
        <v>0.00588004704</v>
      </c>
      <c r="I50" s="9">
        <v>3600.0</v>
      </c>
      <c r="J50" s="9">
        <v>7604.0</v>
      </c>
      <c r="K50" s="9">
        <v>7603.9</v>
      </c>
      <c r="L50" s="9">
        <v>377.6</v>
      </c>
      <c r="M50" s="13">
        <f t="shared" si="3"/>
        <v>7653</v>
      </c>
      <c r="N50" s="13">
        <f t="shared" si="4"/>
        <v>7698</v>
      </c>
      <c r="O50" s="7">
        <f t="shared" si="5"/>
        <v>0.00588004704</v>
      </c>
      <c r="Q50" s="7">
        <f t="shared" si="6"/>
        <v>0.07571585903</v>
      </c>
      <c r="R50" s="7">
        <f t="shared" si="7"/>
        <v>0.05355176211</v>
      </c>
      <c r="S50" s="13" t="b">
        <f t="shared" si="8"/>
        <v>0</v>
      </c>
      <c r="T50" s="13">
        <f t="shared" si="9"/>
        <v>3600</v>
      </c>
      <c r="U50" s="7">
        <f t="shared" si="10"/>
        <v>0.00588004704</v>
      </c>
      <c r="V50" s="7">
        <f t="shared" si="11"/>
        <v>0</v>
      </c>
      <c r="W50" s="13" t="b">
        <f t="shared" si="12"/>
        <v>1</v>
      </c>
      <c r="X50" s="13">
        <f t="shared" si="13"/>
        <v>3600</v>
      </c>
      <c r="Y50" s="7">
        <f t="shared" si="14"/>
        <v>0.006443976854</v>
      </c>
      <c r="Z50" s="7">
        <f t="shared" si="15"/>
        <v>0.006457212746</v>
      </c>
      <c r="AA50" s="13" t="b">
        <f t="shared" si="16"/>
        <v>0</v>
      </c>
      <c r="AB50" s="13">
        <f t="shared" si="17"/>
        <v>377.6</v>
      </c>
    </row>
    <row r="51">
      <c r="A51" s="1" t="s">
        <v>56</v>
      </c>
      <c r="B51" s="12">
        <v>6820.0</v>
      </c>
      <c r="C51" s="12">
        <v>7663.0</v>
      </c>
      <c r="D51" s="7">
        <f t="shared" si="1"/>
        <v>0.1236070381</v>
      </c>
      <c r="E51" s="9">
        <v>3600.0</v>
      </c>
      <c r="F51" s="9">
        <v>7328.0</v>
      </c>
      <c r="G51" s="9">
        <v>7605.0</v>
      </c>
      <c r="H51" s="7">
        <f t="shared" si="2"/>
        <v>0.03780021834</v>
      </c>
      <c r="I51" s="9">
        <v>3600.0</v>
      </c>
      <c r="J51" s="9">
        <v>7556.0</v>
      </c>
      <c r="K51" s="9">
        <v>7507.4</v>
      </c>
      <c r="L51" s="9">
        <v>480.45</v>
      </c>
      <c r="M51" s="13">
        <f t="shared" si="3"/>
        <v>7556</v>
      </c>
      <c r="N51" s="13">
        <f t="shared" si="4"/>
        <v>7605</v>
      </c>
      <c r="O51" s="7">
        <f t="shared" si="5"/>
        <v>0.006484912652</v>
      </c>
      <c r="Q51" s="7">
        <f t="shared" si="6"/>
        <v>0.1236070381</v>
      </c>
      <c r="R51" s="7">
        <f t="shared" si="7"/>
        <v>0.1079178886</v>
      </c>
      <c r="S51" s="13" t="b">
        <f t="shared" si="8"/>
        <v>0</v>
      </c>
      <c r="T51" s="13">
        <f t="shared" si="9"/>
        <v>3600</v>
      </c>
      <c r="U51" s="7">
        <f t="shared" si="10"/>
        <v>0.03780021834</v>
      </c>
      <c r="V51" s="7">
        <f t="shared" si="11"/>
        <v>0.03111353712</v>
      </c>
      <c r="W51" s="13" t="b">
        <f t="shared" si="12"/>
        <v>0</v>
      </c>
      <c r="X51" s="13">
        <f t="shared" si="13"/>
        <v>3600</v>
      </c>
      <c r="Y51" s="7">
        <f t="shared" si="14"/>
        <v>0</v>
      </c>
      <c r="Z51" s="7">
        <f t="shared" si="15"/>
        <v>0.006473612702</v>
      </c>
      <c r="AA51" s="13" t="b">
        <f t="shared" si="16"/>
        <v>1</v>
      </c>
      <c r="AB51" s="13">
        <f t="shared" si="17"/>
        <v>480.45</v>
      </c>
    </row>
    <row r="52">
      <c r="A52" s="1" t="s">
        <v>57</v>
      </c>
      <c r="B52" s="12">
        <v>10163.0</v>
      </c>
      <c r="C52" s="12">
        <v>10400.0</v>
      </c>
      <c r="D52" s="7">
        <f t="shared" si="1"/>
        <v>0.02331988586</v>
      </c>
      <c r="E52" s="9">
        <v>3600.0</v>
      </c>
      <c r="F52" s="9">
        <v>10295.0</v>
      </c>
      <c r="G52" s="9">
        <v>10349.0</v>
      </c>
      <c r="H52" s="7">
        <f t="shared" si="2"/>
        <v>0.005245264692</v>
      </c>
      <c r="I52" s="9">
        <v>3600.0</v>
      </c>
      <c r="J52" s="9">
        <v>10303.0</v>
      </c>
      <c r="K52" s="9">
        <v>10296.3</v>
      </c>
      <c r="L52" s="9">
        <v>1062.35</v>
      </c>
      <c r="M52" s="13">
        <f t="shared" si="3"/>
        <v>10303</v>
      </c>
      <c r="N52" s="13">
        <f t="shared" si="4"/>
        <v>10349</v>
      </c>
      <c r="O52" s="7">
        <f t="shared" si="5"/>
        <v>0.004464719014</v>
      </c>
      <c r="Q52" s="7">
        <f t="shared" si="6"/>
        <v>0.02331988586</v>
      </c>
      <c r="R52" s="7">
        <f t="shared" si="7"/>
        <v>0.01377546</v>
      </c>
      <c r="S52" s="13" t="b">
        <f t="shared" si="8"/>
        <v>0</v>
      </c>
      <c r="T52" s="13">
        <f t="shared" si="9"/>
        <v>3600</v>
      </c>
      <c r="U52" s="7">
        <f t="shared" si="10"/>
        <v>0.005245264692</v>
      </c>
      <c r="V52" s="7">
        <f t="shared" si="11"/>
        <v>0.0007770762506</v>
      </c>
      <c r="W52" s="13" t="b">
        <f t="shared" si="12"/>
        <v>0</v>
      </c>
      <c r="X52" s="13">
        <f t="shared" si="13"/>
        <v>3600</v>
      </c>
      <c r="Y52" s="7">
        <f t="shared" si="14"/>
        <v>0</v>
      </c>
      <c r="Z52" s="7">
        <f t="shared" si="15"/>
        <v>0.0006507191904</v>
      </c>
      <c r="AA52" s="13" t="b">
        <f t="shared" si="16"/>
        <v>1</v>
      </c>
      <c r="AB52" s="13">
        <f t="shared" si="17"/>
        <v>1062.35</v>
      </c>
    </row>
    <row r="53">
      <c r="A53" s="1" t="s">
        <v>58</v>
      </c>
      <c r="B53" s="12">
        <v>11325.0</v>
      </c>
      <c r="C53" s="12">
        <v>11908.0</v>
      </c>
      <c r="D53" s="7">
        <f t="shared" si="1"/>
        <v>0.0514790287</v>
      </c>
      <c r="E53" s="9">
        <v>3600.0</v>
      </c>
      <c r="F53" s="9">
        <v>11420.0</v>
      </c>
      <c r="G53" s="9">
        <v>11935.0</v>
      </c>
      <c r="H53" s="7">
        <f t="shared" si="2"/>
        <v>0.04509632224</v>
      </c>
      <c r="I53" s="9">
        <v>3600.0</v>
      </c>
      <c r="J53" s="9">
        <v>11423.0</v>
      </c>
      <c r="K53" s="9">
        <v>11421.5</v>
      </c>
      <c r="L53" s="9">
        <v>296.31</v>
      </c>
      <c r="M53" s="13">
        <f t="shared" si="3"/>
        <v>11423</v>
      </c>
      <c r="N53" s="13">
        <f t="shared" si="4"/>
        <v>11908</v>
      </c>
      <c r="O53" s="7">
        <f t="shared" si="5"/>
        <v>0.04245819837</v>
      </c>
      <c r="Q53" s="7">
        <f t="shared" si="6"/>
        <v>0.0514790287</v>
      </c>
      <c r="R53" s="7">
        <f t="shared" si="7"/>
        <v>0.008653421634</v>
      </c>
      <c r="S53" s="13" t="b">
        <f t="shared" si="8"/>
        <v>0</v>
      </c>
      <c r="T53" s="13">
        <f t="shared" si="9"/>
        <v>3600</v>
      </c>
      <c r="U53" s="7">
        <f t="shared" si="10"/>
        <v>0.04509632224</v>
      </c>
      <c r="V53" s="7">
        <f t="shared" si="11"/>
        <v>0.0002626970228</v>
      </c>
      <c r="W53" s="13" t="b">
        <f t="shared" si="12"/>
        <v>0</v>
      </c>
      <c r="X53" s="13">
        <f t="shared" si="13"/>
        <v>3600</v>
      </c>
      <c r="Y53" s="7">
        <f t="shared" si="14"/>
        <v>0</v>
      </c>
      <c r="Z53" s="7">
        <f t="shared" si="15"/>
        <v>0.0001313312612</v>
      </c>
      <c r="AA53" s="13" t="b">
        <f t="shared" si="16"/>
        <v>1</v>
      </c>
      <c r="AB53" s="13">
        <f t="shared" si="17"/>
        <v>296.31</v>
      </c>
    </row>
    <row r="54">
      <c r="A54" s="1" t="s">
        <v>59</v>
      </c>
      <c r="B54" s="12">
        <v>12352.0</v>
      </c>
      <c r="C54" s="12">
        <v>13204.0</v>
      </c>
      <c r="D54" s="7">
        <f t="shared" si="1"/>
        <v>0.06897668394</v>
      </c>
      <c r="E54" s="9">
        <v>3600.0</v>
      </c>
      <c r="F54" s="9">
        <v>12865.0</v>
      </c>
      <c r="G54" s="9">
        <v>13050.0</v>
      </c>
      <c r="H54" s="7">
        <f t="shared" si="2"/>
        <v>0.01438010105</v>
      </c>
      <c r="I54" s="9">
        <v>3600.0</v>
      </c>
      <c r="J54" s="9">
        <v>12863.0</v>
      </c>
      <c r="K54" s="9">
        <v>12730.9</v>
      </c>
      <c r="L54" s="9">
        <v>525.4</v>
      </c>
      <c r="M54" s="13">
        <f t="shared" si="3"/>
        <v>12865</v>
      </c>
      <c r="N54" s="13">
        <f t="shared" si="4"/>
        <v>13050</v>
      </c>
      <c r="O54" s="7">
        <f t="shared" si="5"/>
        <v>0.01438010105</v>
      </c>
      <c r="Q54" s="7">
        <f t="shared" si="6"/>
        <v>0.06897668394</v>
      </c>
      <c r="R54" s="7">
        <f t="shared" si="7"/>
        <v>0.04153173575</v>
      </c>
      <c r="S54" s="13" t="b">
        <f t="shared" si="8"/>
        <v>0</v>
      </c>
      <c r="T54" s="13">
        <f t="shared" si="9"/>
        <v>3600</v>
      </c>
      <c r="U54" s="7">
        <f t="shared" si="10"/>
        <v>0.01438010105</v>
      </c>
      <c r="V54" s="7">
        <f t="shared" si="11"/>
        <v>0</v>
      </c>
      <c r="W54" s="13" t="b">
        <f t="shared" si="12"/>
        <v>1</v>
      </c>
      <c r="X54" s="13">
        <f t="shared" si="13"/>
        <v>3600</v>
      </c>
      <c r="Y54" s="7">
        <f t="shared" si="14"/>
        <v>0.0001554847236</v>
      </c>
      <c r="Z54" s="7">
        <f t="shared" si="15"/>
        <v>0.01053342654</v>
      </c>
      <c r="AA54" s="13" t="b">
        <f t="shared" si="16"/>
        <v>0</v>
      </c>
      <c r="AB54" s="13">
        <f t="shared" si="17"/>
        <v>525.4</v>
      </c>
    </row>
    <row r="55">
      <c r="A55" s="1" t="s">
        <v>60</v>
      </c>
      <c r="B55" s="12">
        <v>11802.0</v>
      </c>
      <c r="C55" s="12">
        <v>13481.0</v>
      </c>
      <c r="D55" s="7">
        <f t="shared" si="1"/>
        <v>0.142264023</v>
      </c>
      <c r="E55" s="9">
        <v>3600.0</v>
      </c>
      <c r="F55" s="9">
        <v>13252.0</v>
      </c>
      <c r="G55" s="9">
        <v>13327.0</v>
      </c>
      <c r="H55" s="7">
        <f t="shared" si="2"/>
        <v>0.005659523091</v>
      </c>
      <c r="I55" s="9">
        <v>3600.0</v>
      </c>
      <c r="J55" s="9">
        <v>13252.0</v>
      </c>
      <c r="K55" s="9">
        <v>13174.4</v>
      </c>
      <c r="L55" s="9">
        <v>707.57</v>
      </c>
      <c r="M55" s="13">
        <f t="shared" si="3"/>
        <v>13252</v>
      </c>
      <c r="N55" s="13">
        <f t="shared" si="4"/>
        <v>13327</v>
      </c>
      <c r="O55" s="7">
        <f t="shared" si="5"/>
        <v>0.005659523091</v>
      </c>
      <c r="Q55" s="7">
        <f t="shared" si="6"/>
        <v>0.142264023</v>
      </c>
      <c r="R55" s="7">
        <f t="shared" si="7"/>
        <v>0.1228605321</v>
      </c>
      <c r="S55" s="13" t="b">
        <f t="shared" si="8"/>
        <v>0</v>
      </c>
      <c r="T55" s="13">
        <f t="shared" si="9"/>
        <v>3600</v>
      </c>
      <c r="U55" s="7">
        <f t="shared" si="10"/>
        <v>0.005659523091</v>
      </c>
      <c r="V55" s="7">
        <f t="shared" si="11"/>
        <v>0</v>
      </c>
      <c r="W55" s="13" t="b">
        <f t="shared" si="12"/>
        <v>1</v>
      </c>
      <c r="X55" s="13">
        <f t="shared" si="13"/>
        <v>3600</v>
      </c>
      <c r="Y55" s="7">
        <f t="shared" si="14"/>
        <v>0</v>
      </c>
      <c r="Z55" s="7">
        <f t="shared" si="15"/>
        <v>0.005890211319</v>
      </c>
      <c r="AA55" s="13" t="b">
        <f t="shared" si="16"/>
        <v>1</v>
      </c>
      <c r="AB55" s="13">
        <f t="shared" si="17"/>
        <v>707.57</v>
      </c>
    </row>
    <row r="56">
      <c r="A56" s="1" t="s">
        <v>61</v>
      </c>
      <c r="B56" s="12">
        <v>13631.0</v>
      </c>
      <c r="C56" s="12">
        <v>14864.0</v>
      </c>
      <c r="D56" s="7">
        <f t="shared" si="1"/>
        <v>0.09045557919</v>
      </c>
      <c r="E56" s="9">
        <v>3600.0</v>
      </c>
      <c r="F56" s="9">
        <v>14743.0</v>
      </c>
      <c r="G56" s="9">
        <v>14792.0</v>
      </c>
      <c r="H56" s="7">
        <f t="shared" si="2"/>
        <v>0.003323611205</v>
      </c>
      <c r="I56" s="9">
        <v>3600.0</v>
      </c>
      <c r="J56" s="9">
        <v>14745.0</v>
      </c>
      <c r="K56" s="9">
        <v>14715.0</v>
      </c>
      <c r="L56" s="9">
        <v>1403.84</v>
      </c>
      <c r="M56" s="13">
        <f t="shared" si="3"/>
        <v>14745</v>
      </c>
      <c r="N56" s="13">
        <f t="shared" si="4"/>
        <v>14792</v>
      </c>
      <c r="O56" s="7">
        <f t="shared" si="5"/>
        <v>0.003187521194</v>
      </c>
      <c r="Q56" s="7">
        <f t="shared" si="6"/>
        <v>0.09045557919</v>
      </c>
      <c r="R56" s="7">
        <f t="shared" si="7"/>
        <v>0.08172547869</v>
      </c>
      <c r="S56" s="13" t="b">
        <f t="shared" si="8"/>
        <v>0</v>
      </c>
      <c r="T56" s="13">
        <f t="shared" si="9"/>
        <v>3600</v>
      </c>
      <c r="U56" s="7">
        <f t="shared" si="10"/>
        <v>0.003323611205</v>
      </c>
      <c r="V56" s="7">
        <f t="shared" si="11"/>
        <v>0.0001356576002</v>
      </c>
      <c r="W56" s="13" t="b">
        <f t="shared" si="12"/>
        <v>0</v>
      </c>
      <c r="X56" s="13">
        <f t="shared" si="13"/>
        <v>3600</v>
      </c>
      <c r="Y56" s="7">
        <f t="shared" si="14"/>
        <v>0</v>
      </c>
      <c r="Z56" s="7">
        <f t="shared" si="15"/>
        <v>0.002038735984</v>
      </c>
      <c r="AA56" s="13" t="b">
        <f t="shared" si="16"/>
        <v>1</v>
      </c>
      <c r="AB56" s="13">
        <f t="shared" si="17"/>
        <v>1403.84</v>
      </c>
    </row>
    <row r="57">
      <c r="A57" s="1" t="s">
        <v>62</v>
      </c>
      <c r="B57" s="12">
        <v>12462.0</v>
      </c>
      <c r="C57" s="12">
        <v>14533.0</v>
      </c>
      <c r="D57" s="7">
        <f t="shared" si="1"/>
        <v>0.166185203</v>
      </c>
      <c r="E57" s="9">
        <v>3600.0</v>
      </c>
      <c r="F57" s="9">
        <v>14288.0</v>
      </c>
      <c r="G57" s="9">
        <v>14411.0</v>
      </c>
      <c r="H57" s="7">
        <f t="shared" si="2"/>
        <v>0.00860862262</v>
      </c>
      <c r="I57" s="9">
        <v>3600.0</v>
      </c>
      <c r="J57" s="9">
        <v>14303.0</v>
      </c>
      <c r="K57" s="9">
        <v>14201.7</v>
      </c>
      <c r="L57" s="9">
        <v>507.13</v>
      </c>
      <c r="M57" s="13">
        <f t="shared" si="3"/>
        <v>14303</v>
      </c>
      <c r="N57" s="13">
        <f t="shared" si="4"/>
        <v>14411</v>
      </c>
      <c r="O57" s="7">
        <f t="shared" si="5"/>
        <v>0.007550863455</v>
      </c>
      <c r="Q57" s="7">
        <f t="shared" si="6"/>
        <v>0.166185203</v>
      </c>
      <c r="R57" s="7">
        <f t="shared" si="7"/>
        <v>0.1477290965</v>
      </c>
      <c r="S57" s="13" t="b">
        <f t="shared" si="8"/>
        <v>0</v>
      </c>
      <c r="T57" s="13">
        <f t="shared" si="9"/>
        <v>3600</v>
      </c>
      <c r="U57" s="7">
        <f t="shared" si="10"/>
        <v>0.00860862262</v>
      </c>
      <c r="V57" s="7">
        <f t="shared" si="11"/>
        <v>0.001049832027</v>
      </c>
      <c r="W57" s="13" t="b">
        <f t="shared" si="12"/>
        <v>0</v>
      </c>
      <c r="X57" s="13">
        <f t="shared" si="13"/>
        <v>3600</v>
      </c>
      <c r="Y57" s="7">
        <f t="shared" si="14"/>
        <v>0</v>
      </c>
      <c r="Z57" s="7">
        <f t="shared" si="15"/>
        <v>0.007132948872</v>
      </c>
      <c r="AA57" s="13" t="b">
        <f t="shared" si="16"/>
        <v>1</v>
      </c>
      <c r="AB57" s="13">
        <f t="shared" si="17"/>
        <v>507.13</v>
      </c>
    </row>
    <row r="58">
      <c r="A58" s="1" t="s">
        <v>63</v>
      </c>
      <c r="B58" s="12">
        <v>12524.0</v>
      </c>
      <c r="C58" s="12">
        <v>15757.0</v>
      </c>
      <c r="D58" s="7">
        <f t="shared" si="1"/>
        <v>0.2581443628</v>
      </c>
      <c r="E58" s="9">
        <v>3600.0</v>
      </c>
      <c r="F58" s="9">
        <v>15474.0</v>
      </c>
      <c r="G58" s="9">
        <v>15565.0</v>
      </c>
      <c r="H58" s="7">
        <f t="shared" si="2"/>
        <v>0.005880832364</v>
      </c>
      <c r="I58" s="9">
        <v>3600.0</v>
      </c>
      <c r="J58" s="9">
        <v>15220.0</v>
      </c>
      <c r="K58" s="9">
        <v>15026.7</v>
      </c>
      <c r="L58" s="9">
        <v>592.3</v>
      </c>
      <c r="M58" s="13">
        <f t="shared" si="3"/>
        <v>15474</v>
      </c>
      <c r="N58" s="13">
        <f t="shared" si="4"/>
        <v>15565</v>
      </c>
      <c r="O58" s="7">
        <f t="shared" si="5"/>
        <v>0.005880832364</v>
      </c>
      <c r="Q58" s="7">
        <f t="shared" si="6"/>
        <v>0.2581443628</v>
      </c>
      <c r="R58" s="7">
        <f t="shared" si="7"/>
        <v>0.2355477483</v>
      </c>
      <c r="S58" s="13" t="b">
        <f t="shared" si="8"/>
        <v>0</v>
      </c>
      <c r="T58" s="13">
        <f t="shared" si="9"/>
        <v>3600</v>
      </c>
      <c r="U58" s="7">
        <f t="shared" si="10"/>
        <v>0.005880832364</v>
      </c>
      <c r="V58" s="7">
        <f t="shared" si="11"/>
        <v>0</v>
      </c>
      <c r="W58" s="13" t="b">
        <f t="shared" si="12"/>
        <v>1</v>
      </c>
      <c r="X58" s="13">
        <f t="shared" si="13"/>
        <v>3600</v>
      </c>
      <c r="Y58" s="7">
        <f t="shared" si="14"/>
        <v>0.01668856767</v>
      </c>
      <c r="Z58" s="7">
        <f t="shared" si="15"/>
        <v>0.02976701471</v>
      </c>
      <c r="AA58" s="13" t="b">
        <f t="shared" si="16"/>
        <v>0</v>
      </c>
      <c r="AB58" s="13">
        <f t="shared" si="17"/>
        <v>592.3</v>
      </c>
    </row>
    <row r="59">
      <c r="A59" s="1" t="s">
        <v>64</v>
      </c>
      <c r="B59" s="12">
        <v>16142.0</v>
      </c>
      <c r="C59" s="12">
        <v>17202.0</v>
      </c>
      <c r="D59" s="7">
        <f t="shared" si="1"/>
        <v>0.06566720357</v>
      </c>
      <c r="E59" s="9">
        <v>3600.0</v>
      </c>
      <c r="F59" s="9">
        <v>16281.0</v>
      </c>
      <c r="G59" s="9">
        <v>17131.0</v>
      </c>
      <c r="H59" s="7">
        <f t="shared" si="2"/>
        <v>0.05220809533</v>
      </c>
      <c r="I59" s="9">
        <v>3600.0</v>
      </c>
      <c r="J59" s="9">
        <v>16281.0</v>
      </c>
      <c r="K59" s="9">
        <v>16281.0</v>
      </c>
      <c r="L59" s="9">
        <v>273.09</v>
      </c>
      <c r="M59" s="13">
        <f t="shared" si="3"/>
        <v>16281</v>
      </c>
      <c r="N59" s="13">
        <f t="shared" si="4"/>
        <v>17131</v>
      </c>
      <c r="O59" s="7">
        <f t="shared" si="5"/>
        <v>0.05220809533</v>
      </c>
      <c r="Q59" s="7">
        <f t="shared" si="6"/>
        <v>0.06566720357</v>
      </c>
      <c r="R59" s="7">
        <f t="shared" si="7"/>
        <v>0.008611076694</v>
      </c>
      <c r="S59" s="13" t="b">
        <f t="shared" si="8"/>
        <v>0</v>
      </c>
      <c r="T59" s="13">
        <f t="shared" si="9"/>
        <v>3600</v>
      </c>
      <c r="U59" s="7">
        <f t="shared" si="10"/>
        <v>0.05220809533</v>
      </c>
      <c r="V59" s="7">
        <f t="shared" si="11"/>
        <v>0</v>
      </c>
      <c r="W59" s="13" t="b">
        <f t="shared" si="12"/>
        <v>1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273.09</v>
      </c>
    </row>
    <row r="60">
      <c r="A60" s="1" t="s">
        <v>65</v>
      </c>
      <c r="B60" s="12">
        <v>16290.0</v>
      </c>
      <c r="C60" s="12">
        <v>17317.0</v>
      </c>
      <c r="D60" s="7">
        <f t="shared" si="1"/>
        <v>0.06304481277</v>
      </c>
      <c r="E60" s="9">
        <v>3600.0</v>
      </c>
      <c r="F60" s="9">
        <v>17154.0</v>
      </c>
      <c r="G60" s="9">
        <v>17154.0</v>
      </c>
      <c r="H60" s="7">
        <f t="shared" si="2"/>
        <v>0</v>
      </c>
      <c r="I60" s="9">
        <v>1613.74</v>
      </c>
      <c r="J60" s="9">
        <v>17141.0</v>
      </c>
      <c r="K60" s="9">
        <v>17121.7</v>
      </c>
      <c r="L60" s="9">
        <v>2214.55</v>
      </c>
      <c r="M60" s="13">
        <f t="shared" si="3"/>
        <v>17154</v>
      </c>
      <c r="N60" s="13">
        <f t="shared" si="4"/>
        <v>17154</v>
      </c>
      <c r="O60" s="7">
        <f t="shared" si="5"/>
        <v>0</v>
      </c>
      <c r="Q60" s="7">
        <f t="shared" si="6"/>
        <v>0.06304481277</v>
      </c>
      <c r="R60" s="7">
        <f t="shared" si="7"/>
        <v>0.05303867403</v>
      </c>
      <c r="S60" s="13" t="b">
        <f t="shared" si="8"/>
        <v>0</v>
      </c>
      <c r="T60" s="13">
        <f t="shared" si="9"/>
        <v>3600</v>
      </c>
      <c r="U60" s="7">
        <f t="shared" si="10"/>
        <v>0</v>
      </c>
      <c r="V60" s="7">
        <f t="shared" si="11"/>
        <v>0</v>
      </c>
      <c r="W60" s="13" t="b">
        <f t="shared" si="12"/>
        <v>1</v>
      </c>
      <c r="X60" s="13">
        <f t="shared" si="13"/>
        <v>1613.74</v>
      </c>
      <c r="Y60" s="7">
        <f t="shared" si="14"/>
        <v>0.000758415495</v>
      </c>
      <c r="Z60" s="7">
        <f t="shared" si="15"/>
        <v>0.001886494916</v>
      </c>
      <c r="AA60" s="13" t="b">
        <f t="shared" si="16"/>
        <v>0</v>
      </c>
      <c r="AB60" s="13">
        <f t="shared" si="17"/>
        <v>2214.55</v>
      </c>
    </row>
    <row r="61">
      <c r="A61" s="1" t="s">
        <v>66</v>
      </c>
      <c r="B61" s="12">
        <v>13907.0</v>
      </c>
      <c r="C61" s="12">
        <v>19701.0</v>
      </c>
      <c r="D61" s="7">
        <f t="shared" si="1"/>
        <v>0.4166247214</v>
      </c>
      <c r="E61" s="9">
        <v>3600.0</v>
      </c>
      <c r="F61" s="9">
        <v>18948.0</v>
      </c>
      <c r="G61" s="9">
        <v>19701.0</v>
      </c>
      <c r="H61" s="7">
        <f t="shared" si="2"/>
        <v>0.03974034199</v>
      </c>
      <c r="I61" s="9">
        <v>3600.0</v>
      </c>
      <c r="J61" s="9">
        <v>18948.0</v>
      </c>
      <c r="K61" s="9">
        <v>18947.0</v>
      </c>
      <c r="L61" s="9">
        <v>575.21</v>
      </c>
      <c r="M61" s="13">
        <f t="shared" si="3"/>
        <v>18948</v>
      </c>
      <c r="N61" s="13">
        <f t="shared" si="4"/>
        <v>19701</v>
      </c>
      <c r="O61" s="7">
        <f t="shared" si="5"/>
        <v>0.03974034199</v>
      </c>
      <c r="Q61" s="7">
        <f t="shared" si="6"/>
        <v>0.4166247214</v>
      </c>
      <c r="R61" s="7">
        <f t="shared" si="7"/>
        <v>0.362479327</v>
      </c>
      <c r="S61" s="13" t="b">
        <f t="shared" si="8"/>
        <v>0</v>
      </c>
      <c r="T61" s="13">
        <f t="shared" si="9"/>
        <v>3600</v>
      </c>
      <c r="U61" s="7">
        <f t="shared" si="10"/>
        <v>0.03974034199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0.00005277880403</v>
      </c>
      <c r="AA61" s="13" t="b">
        <f t="shared" si="16"/>
        <v>1</v>
      </c>
      <c r="AB61" s="13">
        <f t="shared" si="17"/>
        <v>575.21</v>
      </c>
    </row>
    <row r="62">
      <c r="A62" s="1" t="s">
        <v>67</v>
      </c>
      <c r="B62" s="12">
        <v>15933.0</v>
      </c>
      <c r="C62" s="12">
        <v>19630.0</v>
      </c>
      <c r="D62" s="7">
        <f t="shared" si="1"/>
        <v>0.232034143</v>
      </c>
      <c r="E62" s="9">
        <v>3600.0</v>
      </c>
      <c r="F62" s="9">
        <v>18723.0</v>
      </c>
      <c r="G62" s="9">
        <v>18859.0</v>
      </c>
      <c r="H62" s="7">
        <f t="shared" si="2"/>
        <v>0.007263793196</v>
      </c>
      <c r="I62" s="9">
        <v>3600.0</v>
      </c>
      <c r="J62" s="9">
        <v>18486.0</v>
      </c>
      <c r="K62" s="9">
        <v>18144.8</v>
      </c>
      <c r="L62" s="9">
        <v>803.43</v>
      </c>
      <c r="M62" s="13">
        <f t="shared" si="3"/>
        <v>18723</v>
      </c>
      <c r="N62" s="13">
        <f t="shared" si="4"/>
        <v>18859</v>
      </c>
      <c r="O62" s="7">
        <f t="shared" si="5"/>
        <v>0.007263793196</v>
      </c>
      <c r="Q62" s="7">
        <f t="shared" si="6"/>
        <v>0.232034143</v>
      </c>
      <c r="R62" s="7">
        <f t="shared" si="7"/>
        <v>0.1751082659</v>
      </c>
      <c r="S62" s="13" t="b">
        <f t="shared" si="8"/>
        <v>0</v>
      </c>
      <c r="T62" s="13">
        <f t="shared" si="9"/>
        <v>3600</v>
      </c>
      <c r="U62" s="7">
        <f t="shared" si="10"/>
        <v>0.007263793196</v>
      </c>
      <c r="V62" s="7">
        <f t="shared" si="11"/>
        <v>0</v>
      </c>
      <c r="W62" s="13" t="b">
        <f t="shared" si="12"/>
        <v>1</v>
      </c>
      <c r="X62" s="13">
        <f t="shared" si="13"/>
        <v>3600</v>
      </c>
      <c r="Y62" s="7">
        <f t="shared" si="14"/>
        <v>0.01282051282</v>
      </c>
      <c r="Z62" s="7">
        <f t="shared" si="15"/>
        <v>0.03186587893</v>
      </c>
      <c r="AA62" s="13" t="b">
        <f t="shared" si="16"/>
        <v>0</v>
      </c>
      <c r="AB62" s="13">
        <f t="shared" si="17"/>
        <v>803.43</v>
      </c>
      <c r="AD62" s="7">
        <f t="shared" ref="AD62:AE62" si="21">AVERAGE(Q33:Q62)</f>
        <v>0.08524017287</v>
      </c>
      <c r="AE62" s="7">
        <f t="shared" si="21"/>
        <v>0.05250343224</v>
      </c>
      <c r="AF62" s="13">
        <f>COUNTIF(S33:S62, "TRUE")</f>
        <v>4</v>
      </c>
      <c r="AG62" s="13">
        <f>COUNTIF(Q33:Q62,"=0")</f>
        <v>3</v>
      </c>
      <c r="AH62" s="13">
        <f t="shared" ref="AH62:AJ62" si="22">AVERAGE(T33:T62)</f>
        <v>3496.259</v>
      </c>
      <c r="AI62" s="7">
        <f t="shared" si="22"/>
        <v>0.01200377684</v>
      </c>
      <c r="AJ62" s="7">
        <f t="shared" si="22"/>
        <v>0.001115905667</v>
      </c>
      <c r="AK62" s="13">
        <f>COUNTIF(W33:W62, "TRUE")</f>
        <v>24</v>
      </c>
      <c r="AL62" s="13">
        <f>COUNTIF(U33:U62,"=0")</f>
        <v>13</v>
      </c>
      <c r="AM62" s="13">
        <f t="shared" ref="AM62:AO62" si="23">AVERAGE(X33:X62)</f>
        <v>2259.441333</v>
      </c>
      <c r="AN62" s="7">
        <f t="shared" si="23"/>
        <v>0.001608160566</v>
      </c>
      <c r="AO62" s="7">
        <f t="shared" si="23"/>
        <v>0.004223480918</v>
      </c>
      <c r="AP62" s="13">
        <f>COUNTIF(AA33:AA62, "TRUE")</f>
        <v>22</v>
      </c>
      <c r="AQ62" s="13">
        <f>AVERAGE(AB33:AB62)</f>
        <v>480.3036667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106.0</v>
      </c>
      <c r="C3" s="12">
        <v>106.0</v>
      </c>
      <c r="D3" s="7">
        <f t="shared" ref="D3:D62" si="1">(C3-B3)/B3</f>
        <v>0</v>
      </c>
      <c r="E3" s="9">
        <v>0.04</v>
      </c>
      <c r="F3" s="9">
        <v>106.0</v>
      </c>
      <c r="G3" s="9">
        <v>106.0</v>
      </c>
      <c r="H3" s="7">
        <f t="shared" ref="H3:H62" si="2">(G3-F3)/F3</f>
        <v>0</v>
      </c>
      <c r="I3" s="9">
        <v>0.02</v>
      </c>
      <c r="J3" s="9">
        <v>106.0</v>
      </c>
      <c r="K3" s="9">
        <v>106.0</v>
      </c>
      <c r="L3" s="9">
        <v>0.09</v>
      </c>
      <c r="M3" s="13">
        <f t="shared" ref="M3:M62" si="3">MAX(B3,F3,J3)</f>
        <v>106</v>
      </c>
      <c r="N3" s="13">
        <f t="shared" ref="N3:N62" si="4">MIN(C3,G3)</f>
        <v>106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0.04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0.02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0.09</v>
      </c>
    </row>
    <row r="4">
      <c r="A4" s="1" t="s">
        <v>9</v>
      </c>
      <c r="B4" s="12">
        <v>75.0</v>
      </c>
      <c r="C4" s="12">
        <v>75.0</v>
      </c>
      <c r="D4" s="7">
        <f t="shared" si="1"/>
        <v>0</v>
      </c>
      <c r="E4" s="9">
        <v>0.06</v>
      </c>
      <c r="F4" s="9">
        <v>75.0</v>
      </c>
      <c r="G4" s="9">
        <v>75.0</v>
      </c>
      <c r="H4" s="7">
        <f t="shared" si="2"/>
        <v>0</v>
      </c>
      <c r="I4" s="9">
        <v>0.03</v>
      </c>
      <c r="J4" s="9">
        <v>75.0</v>
      </c>
      <c r="K4" s="9">
        <v>75.0</v>
      </c>
      <c r="L4" s="9">
        <v>0.3</v>
      </c>
      <c r="M4" s="13">
        <f t="shared" si="3"/>
        <v>75</v>
      </c>
      <c r="N4" s="13">
        <f t="shared" si="4"/>
        <v>75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0.06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0.03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0.3</v>
      </c>
    </row>
    <row r="5">
      <c r="A5" s="1" t="s">
        <v>10</v>
      </c>
      <c r="B5" s="12">
        <v>327.0</v>
      </c>
      <c r="C5" s="12">
        <v>327.0</v>
      </c>
      <c r="D5" s="7">
        <f t="shared" si="1"/>
        <v>0</v>
      </c>
      <c r="E5" s="9">
        <v>0.27</v>
      </c>
      <c r="F5" s="9">
        <v>327.0</v>
      </c>
      <c r="G5" s="9">
        <v>327.0</v>
      </c>
      <c r="H5" s="7">
        <f t="shared" si="2"/>
        <v>0</v>
      </c>
      <c r="I5" s="9">
        <v>0.04</v>
      </c>
      <c r="J5" s="9">
        <v>327.0</v>
      </c>
      <c r="K5" s="9">
        <v>327.0</v>
      </c>
      <c r="L5" s="9">
        <v>2.45</v>
      </c>
      <c r="M5" s="13">
        <f t="shared" si="3"/>
        <v>327</v>
      </c>
      <c r="N5" s="13">
        <f t="shared" si="4"/>
        <v>327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0.27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0.04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2.45</v>
      </c>
    </row>
    <row r="6">
      <c r="A6" s="1" t="s">
        <v>11</v>
      </c>
      <c r="B6" s="12">
        <v>167.0</v>
      </c>
      <c r="C6" s="12">
        <v>167.0</v>
      </c>
      <c r="D6" s="7">
        <f t="shared" si="1"/>
        <v>0</v>
      </c>
      <c r="E6" s="9">
        <v>0.16</v>
      </c>
      <c r="F6" s="9">
        <v>167.0</v>
      </c>
      <c r="G6" s="9">
        <v>167.0</v>
      </c>
      <c r="H6" s="7">
        <f t="shared" si="2"/>
        <v>0</v>
      </c>
      <c r="I6" s="9">
        <v>0.04</v>
      </c>
      <c r="J6" s="9">
        <v>167.0</v>
      </c>
      <c r="K6" s="9">
        <v>167.0</v>
      </c>
      <c r="L6" s="9">
        <v>0.71</v>
      </c>
      <c r="M6" s="13">
        <f t="shared" si="3"/>
        <v>167</v>
      </c>
      <c r="N6" s="13">
        <f t="shared" si="4"/>
        <v>167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0.16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0.04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0.71</v>
      </c>
    </row>
    <row r="7">
      <c r="A7" s="1" t="s">
        <v>12</v>
      </c>
      <c r="B7" s="12">
        <v>105.0</v>
      </c>
      <c r="C7" s="12">
        <v>105.0</v>
      </c>
      <c r="D7" s="7">
        <f t="shared" si="1"/>
        <v>0</v>
      </c>
      <c r="E7" s="9">
        <v>0.18</v>
      </c>
      <c r="F7" s="9">
        <v>105.0</v>
      </c>
      <c r="G7" s="9">
        <v>105.0</v>
      </c>
      <c r="H7" s="7">
        <f t="shared" si="2"/>
        <v>0</v>
      </c>
      <c r="I7" s="9">
        <v>0.04</v>
      </c>
      <c r="J7" s="9">
        <v>105.0</v>
      </c>
      <c r="K7" s="9">
        <v>105.0</v>
      </c>
      <c r="L7" s="9">
        <v>0.11</v>
      </c>
      <c r="M7" s="13">
        <f t="shared" si="3"/>
        <v>105</v>
      </c>
      <c r="N7" s="13">
        <f t="shared" si="4"/>
        <v>105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0.18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0.04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0.11</v>
      </c>
    </row>
    <row r="8">
      <c r="A8" s="1" t="s">
        <v>13</v>
      </c>
      <c r="B8" s="12">
        <v>180.0</v>
      </c>
      <c r="C8" s="12">
        <v>180.0</v>
      </c>
      <c r="D8" s="7">
        <f t="shared" si="1"/>
        <v>0</v>
      </c>
      <c r="E8" s="9">
        <v>0.42</v>
      </c>
      <c r="F8" s="9">
        <v>180.0</v>
      </c>
      <c r="G8" s="9">
        <v>180.0</v>
      </c>
      <c r="H8" s="7">
        <f t="shared" si="2"/>
        <v>0</v>
      </c>
      <c r="I8" s="9">
        <v>0.1</v>
      </c>
      <c r="J8" s="9">
        <v>180.0</v>
      </c>
      <c r="K8" s="9">
        <v>180.0</v>
      </c>
      <c r="L8" s="9">
        <v>0.7</v>
      </c>
      <c r="M8" s="13">
        <f t="shared" si="3"/>
        <v>180</v>
      </c>
      <c r="N8" s="13">
        <f t="shared" si="4"/>
        <v>180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0.42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0.1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0.7</v>
      </c>
    </row>
    <row r="9">
      <c r="A9" s="1" t="s">
        <v>14</v>
      </c>
      <c r="B9" s="12">
        <v>47.0</v>
      </c>
      <c r="C9" s="12">
        <v>47.0</v>
      </c>
      <c r="D9" s="7">
        <f t="shared" si="1"/>
        <v>0</v>
      </c>
      <c r="E9" s="9">
        <v>0.09</v>
      </c>
      <c r="F9" s="9">
        <v>47.0</v>
      </c>
      <c r="G9" s="9">
        <v>47.0</v>
      </c>
      <c r="H9" s="7">
        <f t="shared" si="2"/>
        <v>0</v>
      </c>
      <c r="I9" s="9">
        <v>0.02</v>
      </c>
      <c r="J9" s="9">
        <v>47.0</v>
      </c>
      <c r="K9" s="9">
        <v>47.0</v>
      </c>
      <c r="L9" s="9">
        <v>0.06</v>
      </c>
      <c r="M9" s="13">
        <f t="shared" si="3"/>
        <v>47</v>
      </c>
      <c r="N9" s="13">
        <f t="shared" si="4"/>
        <v>47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0.09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0.02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0.06</v>
      </c>
    </row>
    <row r="10">
      <c r="A10" s="1" t="s">
        <v>15</v>
      </c>
      <c r="B10" s="12">
        <v>70.0</v>
      </c>
      <c r="C10" s="12">
        <v>70.0</v>
      </c>
      <c r="D10" s="7">
        <f t="shared" si="1"/>
        <v>0</v>
      </c>
      <c r="E10" s="9">
        <v>0.17</v>
      </c>
      <c r="F10" s="9">
        <v>70.0</v>
      </c>
      <c r="G10" s="9">
        <v>70.0</v>
      </c>
      <c r="H10" s="7">
        <f t="shared" si="2"/>
        <v>0</v>
      </c>
      <c r="I10" s="9">
        <v>0.05</v>
      </c>
      <c r="J10" s="9">
        <v>70.0</v>
      </c>
      <c r="K10" s="9">
        <v>70.0</v>
      </c>
      <c r="L10" s="9">
        <v>0.1</v>
      </c>
      <c r="M10" s="13">
        <f t="shared" si="3"/>
        <v>70</v>
      </c>
      <c r="N10" s="13">
        <f t="shared" si="4"/>
        <v>70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0.17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0.05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0.1</v>
      </c>
    </row>
    <row r="11">
      <c r="A11" s="1" t="s">
        <v>16</v>
      </c>
      <c r="B11" s="12">
        <v>219.0</v>
      </c>
      <c r="C11" s="12">
        <v>219.0</v>
      </c>
      <c r="D11" s="7">
        <f t="shared" si="1"/>
        <v>0</v>
      </c>
      <c r="E11" s="9">
        <v>1.22</v>
      </c>
      <c r="F11" s="9">
        <v>219.0</v>
      </c>
      <c r="G11" s="9">
        <v>219.0</v>
      </c>
      <c r="H11" s="7">
        <f t="shared" si="2"/>
        <v>0</v>
      </c>
      <c r="I11" s="9">
        <v>0.09</v>
      </c>
      <c r="J11" s="9">
        <v>219.0</v>
      </c>
      <c r="K11" s="9">
        <v>219.0</v>
      </c>
      <c r="L11" s="9">
        <v>0.19</v>
      </c>
      <c r="M11" s="13">
        <f t="shared" si="3"/>
        <v>219</v>
      </c>
      <c r="N11" s="13">
        <f t="shared" si="4"/>
        <v>219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1.22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0.09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0.19</v>
      </c>
    </row>
    <row r="12">
      <c r="A12" s="1" t="s">
        <v>17</v>
      </c>
      <c r="B12" s="12">
        <v>318.0</v>
      </c>
      <c r="C12" s="12">
        <v>318.0</v>
      </c>
      <c r="D12" s="7">
        <f t="shared" si="1"/>
        <v>0</v>
      </c>
      <c r="E12" s="9">
        <v>0.29</v>
      </c>
      <c r="F12" s="9">
        <v>318.0</v>
      </c>
      <c r="G12" s="9">
        <v>318.0</v>
      </c>
      <c r="H12" s="7">
        <f t="shared" si="2"/>
        <v>0</v>
      </c>
      <c r="I12" s="9">
        <v>0.07</v>
      </c>
      <c r="J12" s="9">
        <v>318.0</v>
      </c>
      <c r="K12" s="9">
        <v>318.0</v>
      </c>
      <c r="L12" s="9">
        <v>8.05</v>
      </c>
      <c r="M12" s="13">
        <f t="shared" si="3"/>
        <v>318</v>
      </c>
      <c r="N12" s="13">
        <f t="shared" si="4"/>
        <v>318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0.29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0.07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8.05</v>
      </c>
    </row>
    <row r="13">
      <c r="A13" s="1" t="s">
        <v>18</v>
      </c>
      <c r="B13" s="12">
        <v>279.0</v>
      </c>
      <c r="C13" s="12">
        <v>279.0</v>
      </c>
      <c r="D13" s="7">
        <f t="shared" si="1"/>
        <v>0</v>
      </c>
      <c r="E13" s="9">
        <v>0.09</v>
      </c>
      <c r="F13" s="9">
        <v>279.0</v>
      </c>
      <c r="G13" s="9">
        <v>279.0</v>
      </c>
      <c r="H13" s="7">
        <f t="shared" si="2"/>
        <v>0</v>
      </c>
      <c r="I13" s="9">
        <v>0.05</v>
      </c>
      <c r="J13" s="9">
        <v>279.0</v>
      </c>
      <c r="K13" s="9">
        <v>279.0</v>
      </c>
      <c r="L13" s="9">
        <v>0.11</v>
      </c>
      <c r="M13" s="13">
        <f t="shared" si="3"/>
        <v>279</v>
      </c>
      <c r="N13" s="13">
        <f t="shared" si="4"/>
        <v>279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0.09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0.05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0.11</v>
      </c>
    </row>
    <row r="14">
      <c r="A14" s="1" t="s">
        <v>19</v>
      </c>
      <c r="B14" s="12">
        <v>350.0</v>
      </c>
      <c r="C14" s="12">
        <v>350.0</v>
      </c>
      <c r="D14" s="7">
        <f t="shared" si="1"/>
        <v>0</v>
      </c>
      <c r="E14" s="9">
        <v>0.3</v>
      </c>
      <c r="F14" s="9">
        <v>350.0</v>
      </c>
      <c r="G14" s="9">
        <v>350.0</v>
      </c>
      <c r="H14" s="7">
        <f t="shared" si="2"/>
        <v>0</v>
      </c>
      <c r="I14" s="9">
        <v>0.07</v>
      </c>
      <c r="J14" s="9">
        <v>350.0</v>
      </c>
      <c r="K14" s="9">
        <v>350.0</v>
      </c>
      <c r="L14" s="9">
        <v>0.25</v>
      </c>
      <c r="M14" s="13">
        <f t="shared" si="3"/>
        <v>350</v>
      </c>
      <c r="N14" s="13">
        <f t="shared" si="4"/>
        <v>350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0.3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0.07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0.25</v>
      </c>
    </row>
    <row r="15">
      <c r="A15" s="1" t="s">
        <v>20</v>
      </c>
      <c r="B15" s="12">
        <v>237.0</v>
      </c>
      <c r="C15" s="12">
        <v>237.0</v>
      </c>
      <c r="D15" s="7">
        <f t="shared" si="1"/>
        <v>0</v>
      </c>
      <c r="E15" s="9">
        <v>0.39</v>
      </c>
      <c r="F15" s="9">
        <v>237.0</v>
      </c>
      <c r="G15" s="9">
        <v>237.0</v>
      </c>
      <c r="H15" s="7">
        <f t="shared" si="2"/>
        <v>0</v>
      </c>
      <c r="I15" s="9">
        <v>0.27</v>
      </c>
      <c r="J15" s="9">
        <v>237.0</v>
      </c>
      <c r="K15" s="9">
        <v>237.0</v>
      </c>
      <c r="L15" s="9">
        <v>0.29</v>
      </c>
      <c r="M15" s="13">
        <f t="shared" si="3"/>
        <v>237</v>
      </c>
      <c r="N15" s="13">
        <f t="shared" si="4"/>
        <v>237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0.39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0.27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0.29</v>
      </c>
    </row>
    <row r="16">
      <c r="A16" s="1" t="s">
        <v>21</v>
      </c>
      <c r="B16" s="12">
        <v>177.0</v>
      </c>
      <c r="C16" s="12">
        <v>177.0</v>
      </c>
      <c r="D16" s="7">
        <f t="shared" si="1"/>
        <v>0</v>
      </c>
      <c r="E16" s="9">
        <v>2.67</v>
      </c>
      <c r="F16" s="9">
        <v>177.0</v>
      </c>
      <c r="G16" s="9">
        <v>177.0</v>
      </c>
      <c r="H16" s="7">
        <f t="shared" si="2"/>
        <v>0</v>
      </c>
      <c r="I16" s="9">
        <v>0.27</v>
      </c>
      <c r="J16" s="9">
        <v>177.0</v>
      </c>
      <c r="K16" s="9">
        <v>177.0</v>
      </c>
      <c r="L16" s="9">
        <v>0.38</v>
      </c>
      <c r="M16" s="13">
        <f t="shared" si="3"/>
        <v>177</v>
      </c>
      <c r="N16" s="13">
        <f t="shared" si="4"/>
        <v>177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2.67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0.27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0.38</v>
      </c>
    </row>
    <row r="17">
      <c r="A17" s="1" t="s">
        <v>22</v>
      </c>
      <c r="B17" s="12">
        <v>168.0</v>
      </c>
      <c r="C17" s="12">
        <v>168.0</v>
      </c>
      <c r="D17" s="7">
        <f t="shared" si="1"/>
        <v>0</v>
      </c>
      <c r="E17" s="9">
        <v>0.68</v>
      </c>
      <c r="F17" s="9">
        <v>168.0</v>
      </c>
      <c r="G17" s="9">
        <v>168.0</v>
      </c>
      <c r="H17" s="7">
        <f t="shared" si="2"/>
        <v>0</v>
      </c>
      <c r="I17" s="9">
        <v>0.13</v>
      </c>
      <c r="J17" s="9">
        <v>168.0</v>
      </c>
      <c r="K17" s="9">
        <v>168.0</v>
      </c>
      <c r="L17" s="9">
        <v>1.99</v>
      </c>
      <c r="M17" s="13">
        <f t="shared" si="3"/>
        <v>168</v>
      </c>
      <c r="N17" s="13">
        <f t="shared" si="4"/>
        <v>168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0.68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0.13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1.99</v>
      </c>
    </row>
    <row r="18">
      <c r="A18" s="1" t="s">
        <v>23</v>
      </c>
      <c r="B18" s="12">
        <v>504.0</v>
      </c>
      <c r="C18" s="12">
        <v>504.0</v>
      </c>
      <c r="D18" s="7">
        <f t="shared" si="1"/>
        <v>0</v>
      </c>
      <c r="E18" s="9">
        <v>1.79</v>
      </c>
      <c r="F18" s="9">
        <v>504.0</v>
      </c>
      <c r="G18" s="9">
        <v>504.0</v>
      </c>
      <c r="H18" s="7">
        <f t="shared" si="2"/>
        <v>0</v>
      </c>
      <c r="I18" s="9">
        <v>0.67</v>
      </c>
      <c r="J18" s="9">
        <v>504.0</v>
      </c>
      <c r="K18" s="9">
        <v>504.0</v>
      </c>
      <c r="L18" s="9">
        <v>0.3</v>
      </c>
      <c r="M18" s="13">
        <f t="shared" si="3"/>
        <v>504</v>
      </c>
      <c r="N18" s="13">
        <f t="shared" si="4"/>
        <v>504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1.79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0.67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0.3</v>
      </c>
    </row>
    <row r="19">
      <c r="A19" s="1" t="s">
        <v>24</v>
      </c>
      <c r="B19" s="12">
        <v>549.0</v>
      </c>
      <c r="C19" s="12">
        <v>549.0</v>
      </c>
      <c r="D19" s="7">
        <f t="shared" si="1"/>
        <v>0</v>
      </c>
      <c r="E19" s="9">
        <v>0.39</v>
      </c>
      <c r="F19" s="9">
        <v>549.0</v>
      </c>
      <c r="G19" s="9">
        <v>549.0</v>
      </c>
      <c r="H19" s="7">
        <f t="shared" si="2"/>
        <v>0</v>
      </c>
      <c r="I19" s="9">
        <v>0.17</v>
      </c>
      <c r="J19" s="9">
        <v>549.0</v>
      </c>
      <c r="K19" s="9">
        <v>549.0</v>
      </c>
      <c r="L19" s="9">
        <v>1.88</v>
      </c>
      <c r="M19" s="13">
        <f t="shared" si="3"/>
        <v>549</v>
      </c>
      <c r="N19" s="13">
        <f t="shared" si="4"/>
        <v>549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0.39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0.17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1.88</v>
      </c>
    </row>
    <row r="20">
      <c r="A20" s="1" t="s">
        <v>25</v>
      </c>
      <c r="B20" s="12">
        <v>400.0</v>
      </c>
      <c r="C20" s="12">
        <v>400.0</v>
      </c>
      <c r="D20" s="7">
        <f t="shared" si="1"/>
        <v>0</v>
      </c>
      <c r="E20" s="9">
        <v>0.26</v>
      </c>
      <c r="F20" s="9">
        <v>400.0</v>
      </c>
      <c r="G20" s="9">
        <v>400.0</v>
      </c>
      <c r="H20" s="7">
        <f t="shared" si="2"/>
        <v>0</v>
      </c>
      <c r="I20" s="9">
        <v>0.1</v>
      </c>
      <c r="J20" s="9">
        <v>400.0</v>
      </c>
      <c r="K20" s="9">
        <v>400.0</v>
      </c>
      <c r="L20" s="9">
        <v>1.06</v>
      </c>
      <c r="M20" s="13">
        <f t="shared" si="3"/>
        <v>400</v>
      </c>
      <c r="N20" s="13">
        <f t="shared" si="4"/>
        <v>400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0.26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0.1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1.06</v>
      </c>
    </row>
    <row r="21">
      <c r="A21" s="1" t="s">
        <v>26</v>
      </c>
      <c r="B21" s="12">
        <v>146.0</v>
      </c>
      <c r="C21" s="12">
        <v>146.0</v>
      </c>
      <c r="D21" s="7">
        <f t="shared" si="1"/>
        <v>0</v>
      </c>
      <c r="E21" s="9">
        <v>4.33</v>
      </c>
      <c r="F21" s="9">
        <v>146.0</v>
      </c>
      <c r="G21" s="9">
        <v>146.0</v>
      </c>
      <c r="H21" s="7">
        <f t="shared" si="2"/>
        <v>0</v>
      </c>
      <c r="I21" s="9">
        <v>0.22</v>
      </c>
      <c r="J21" s="9">
        <v>146.0</v>
      </c>
      <c r="K21" s="9">
        <v>146.0</v>
      </c>
      <c r="L21" s="9">
        <v>0.53</v>
      </c>
      <c r="M21" s="13">
        <f t="shared" si="3"/>
        <v>146</v>
      </c>
      <c r="N21" s="13">
        <f t="shared" si="4"/>
        <v>146</v>
      </c>
      <c r="O21" s="7">
        <f t="shared" si="5"/>
        <v>0</v>
      </c>
      <c r="Q21" s="7">
        <f t="shared" si="6"/>
        <v>0</v>
      </c>
      <c r="R21" s="7">
        <f t="shared" si="7"/>
        <v>0</v>
      </c>
      <c r="S21" s="13" t="b">
        <f t="shared" si="8"/>
        <v>1</v>
      </c>
      <c r="T21" s="13">
        <f t="shared" si="9"/>
        <v>4.33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0.22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0.53</v>
      </c>
    </row>
    <row r="22">
      <c r="A22" s="1" t="s">
        <v>27</v>
      </c>
      <c r="B22" s="12">
        <v>171.0</v>
      </c>
      <c r="C22" s="12">
        <v>171.0</v>
      </c>
      <c r="D22" s="7">
        <f t="shared" si="1"/>
        <v>0</v>
      </c>
      <c r="E22" s="9">
        <v>1.96</v>
      </c>
      <c r="F22" s="9">
        <v>171.0</v>
      </c>
      <c r="G22" s="9">
        <v>171.0</v>
      </c>
      <c r="H22" s="7">
        <f t="shared" si="2"/>
        <v>0</v>
      </c>
      <c r="I22" s="9">
        <v>0.48</v>
      </c>
      <c r="J22" s="9">
        <v>171.0</v>
      </c>
      <c r="K22" s="9">
        <v>171.0</v>
      </c>
      <c r="L22" s="9">
        <v>2.69</v>
      </c>
      <c r="M22" s="13">
        <f t="shared" si="3"/>
        <v>171</v>
      </c>
      <c r="N22" s="13">
        <f t="shared" si="4"/>
        <v>171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1.96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0.48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2.69</v>
      </c>
    </row>
    <row r="23">
      <c r="A23" s="1" t="s">
        <v>28</v>
      </c>
      <c r="B23" s="12">
        <v>526.0</v>
      </c>
      <c r="C23" s="12">
        <v>526.0</v>
      </c>
      <c r="D23" s="7">
        <f t="shared" si="1"/>
        <v>0</v>
      </c>
      <c r="E23" s="9">
        <v>4.04</v>
      </c>
      <c r="F23" s="9">
        <v>526.0</v>
      </c>
      <c r="G23" s="9">
        <v>526.0</v>
      </c>
      <c r="H23" s="7">
        <f t="shared" si="2"/>
        <v>0</v>
      </c>
      <c r="I23" s="9">
        <v>0.27</v>
      </c>
      <c r="J23" s="9">
        <v>526.0</v>
      </c>
      <c r="K23" s="9">
        <v>526.0</v>
      </c>
      <c r="L23" s="9">
        <v>0.24</v>
      </c>
      <c r="M23" s="13">
        <f t="shared" si="3"/>
        <v>526</v>
      </c>
      <c r="N23" s="13">
        <f t="shared" si="4"/>
        <v>526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4.04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0.27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0.24</v>
      </c>
    </row>
    <row r="24">
      <c r="A24" s="1" t="s">
        <v>29</v>
      </c>
      <c r="B24" s="12">
        <v>164.0</v>
      </c>
      <c r="C24" s="12">
        <v>164.0</v>
      </c>
      <c r="D24" s="7">
        <f t="shared" si="1"/>
        <v>0</v>
      </c>
      <c r="E24" s="9">
        <v>2.06</v>
      </c>
      <c r="F24" s="9">
        <v>164.0</v>
      </c>
      <c r="G24" s="9">
        <v>164.0</v>
      </c>
      <c r="H24" s="7">
        <f t="shared" si="2"/>
        <v>0</v>
      </c>
      <c r="I24" s="9">
        <v>0.5</v>
      </c>
      <c r="J24" s="9">
        <v>164.0</v>
      </c>
      <c r="K24" s="9">
        <v>164.0</v>
      </c>
      <c r="L24" s="9">
        <v>1.96</v>
      </c>
      <c r="M24" s="13">
        <f t="shared" si="3"/>
        <v>164</v>
      </c>
      <c r="N24" s="13">
        <f t="shared" si="4"/>
        <v>164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2.06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0.5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1.96</v>
      </c>
    </row>
    <row r="25">
      <c r="A25" s="1" t="s">
        <v>30</v>
      </c>
      <c r="B25" s="12">
        <v>71.0</v>
      </c>
      <c r="C25" s="12">
        <v>71.0</v>
      </c>
      <c r="D25" s="7">
        <f t="shared" si="1"/>
        <v>0</v>
      </c>
      <c r="E25" s="9">
        <v>0.34</v>
      </c>
      <c r="F25" s="9">
        <v>71.0</v>
      </c>
      <c r="G25" s="9">
        <v>71.0</v>
      </c>
      <c r="H25" s="7">
        <f t="shared" si="2"/>
        <v>0</v>
      </c>
      <c r="I25" s="9">
        <v>0.03</v>
      </c>
      <c r="J25" s="9">
        <v>71.0</v>
      </c>
      <c r="K25" s="9">
        <v>71.0</v>
      </c>
      <c r="L25" s="9">
        <v>0.06</v>
      </c>
      <c r="M25" s="13">
        <f t="shared" si="3"/>
        <v>71</v>
      </c>
      <c r="N25" s="13">
        <f t="shared" si="4"/>
        <v>71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0.34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0.03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0.06</v>
      </c>
    </row>
    <row r="26">
      <c r="A26" s="1" t="s">
        <v>31</v>
      </c>
      <c r="B26" s="12">
        <v>277.0</v>
      </c>
      <c r="C26" s="12">
        <v>277.0</v>
      </c>
      <c r="D26" s="7">
        <f t="shared" si="1"/>
        <v>0</v>
      </c>
      <c r="E26" s="9">
        <v>0.88</v>
      </c>
      <c r="F26" s="9">
        <v>277.0</v>
      </c>
      <c r="G26" s="9">
        <v>277.0</v>
      </c>
      <c r="H26" s="7">
        <f t="shared" si="2"/>
        <v>0</v>
      </c>
      <c r="I26" s="9">
        <v>0.5</v>
      </c>
      <c r="J26" s="9">
        <v>277.0</v>
      </c>
      <c r="K26" s="9">
        <v>277.0</v>
      </c>
      <c r="L26" s="9">
        <v>0.23</v>
      </c>
      <c r="M26" s="13">
        <f t="shared" si="3"/>
        <v>277</v>
      </c>
      <c r="N26" s="13">
        <f t="shared" si="4"/>
        <v>277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0.88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0.5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0.23</v>
      </c>
    </row>
    <row r="27">
      <c r="A27" s="1" t="s">
        <v>32</v>
      </c>
      <c r="B27" s="12">
        <v>344.0</v>
      </c>
      <c r="C27" s="12">
        <v>344.0</v>
      </c>
      <c r="D27" s="7">
        <f t="shared" si="1"/>
        <v>0</v>
      </c>
      <c r="E27" s="9">
        <v>320.05</v>
      </c>
      <c r="F27" s="9">
        <v>344.0</v>
      </c>
      <c r="G27" s="9">
        <v>344.0</v>
      </c>
      <c r="H27" s="7">
        <f t="shared" si="2"/>
        <v>0</v>
      </c>
      <c r="I27" s="9">
        <v>3.58</v>
      </c>
      <c r="J27" s="9">
        <v>344.0</v>
      </c>
      <c r="K27" s="9">
        <v>344.0</v>
      </c>
      <c r="L27" s="9">
        <v>3.71</v>
      </c>
      <c r="M27" s="13">
        <f t="shared" si="3"/>
        <v>344</v>
      </c>
      <c r="N27" s="13">
        <f t="shared" si="4"/>
        <v>344</v>
      </c>
      <c r="O27" s="7">
        <f t="shared" si="5"/>
        <v>0</v>
      </c>
      <c r="Q27" s="7">
        <f t="shared" si="6"/>
        <v>0</v>
      </c>
      <c r="R27" s="7">
        <f t="shared" si="7"/>
        <v>0</v>
      </c>
      <c r="S27" s="13" t="b">
        <f t="shared" si="8"/>
        <v>1</v>
      </c>
      <c r="T27" s="13">
        <f t="shared" si="9"/>
        <v>320.05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3.58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3.71</v>
      </c>
    </row>
    <row r="28">
      <c r="A28" s="1" t="s">
        <v>33</v>
      </c>
      <c r="B28" s="12">
        <v>256.0</v>
      </c>
      <c r="C28" s="12">
        <v>256.0</v>
      </c>
      <c r="D28" s="7">
        <f t="shared" si="1"/>
        <v>0</v>
      </c>
      <c r="E28" s="9">
        <v>1.59</v>
      </c>
      <c r="F28" s="9">
        <v>256.0</v>
      </c>
      <c r="G28" s="9">
        <v>256.0</v>
      </c>
      <c r="H28" s="7">
        <f t="shared" si="2"/>
        <v>0</v>
      </c>
      <c r="I28" s="9">
        <v>0.36</v>
      </c>
      <c r="J28" s="9">
        <v>256.0</v>
      </c>
      <c r="K28" s="9">
        <v>256.0</v>
      </c>
      <c r="L28" s="9">
        <v>0.59</v>
      </c>
      <c r="M28" s="13">
        <f t="shared" si="3"/>
        <v>256</v>
      </c>
      <c r="N28" s="13">
        <f t="shared" si="4"/>
        <v>256</v>
      </c>
      <c r="O28" s="7">
        <f t="shared" si="5"/>
        <v>0</v>
      </c>
      <c r="Q28" s="7">
        <f t="shared" si="6"/>
        <v>0</v>
      </c>
      <c r="R28" s="7">
        <f t="shared" si="7"/>
        <v>0</v>
      </c>
      <c r="S28" s="13" t="b">
        <f t="shared" si="8"/>
        <v>1</v>
      </c>
      <c r="T28" s="13">
        <f t="shared" si="9"/>
        <v>1.59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0.36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0.59</v>
      </c>
    </row>
    <row r="29">
      <c r="A29" s="1" t="s">
        <v>34</v>
      </c>
      <c r="B29" s="12">
        <v>230.0</v>
      </c>
      <c r="C29" s="12">
        <v>230.0</v>
      </c>
      <c r="D29" s="7">
        <f t="shared" si="1"/>
        <v>0</v>
      </c>
      <c r="E29" s="9">
        <v>38.81</v>
      </c>
      <c r="F29" s="9">
        <v>230.0</v>
      </c>
      <c r="G29" s="9">
        <v>230.0</v>
      </c>
      <c r="H29" s="7">
        <f t="shared" si="2"/>
        <v>0</v>
      </c>
      <c r="I29" s="9">
        <v>1.11</v>
      </c>
      <c r="J29" s="9">
        <v>230.0</v>
      </c>
      <c r="K29" s="9">
        <v>230.0</v>
      </c>
      <c r="L29" s="9">
        <v>0.24</v>
      </c>
      <c r="M29" s="13">
        <f t="shared" si="3"/>
        <v>230</v>
      </c>
      <c r="N29" s="13">
        <f t="shared" si="4"/>
        <v>230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38.81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1.11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0.24</v>
      </c>
    </row>
    <row r="30">
      <c r="A30" s="1" t="s">
        <v>35</v>
      </c>
      <c r="B30" s="12">
        <v>535.0</v>
      </c>
      <c r="C30" s="12">
        <v>535.0</v>
      </c>
      <c r="D30" s="7">
        <f t="shared" si="1"/>
        <v>0</v>
      </c>
      <c r="E30" s="9">
        <v>0.66</v>
      </c>
      <c r="F30" s="9">
        <v>535.0</v>
      </c>
      <c r="G30" s="9">
        <v>535.0</v>
      </c>
      <c r="H30" s="7">
        <f t="shared" si="2"/>
        <v>0</v>
      </c>
      <c r="I30" s="9">
        <v>0.39</v>
      </c>
      <c r="J30" s="9">
        <v>535.0</v>
      </c>
      <c r="K30" s="9">
        <v>535.0</v>
      </c>
      <c r="L30" s="9">
        <v>0.3</v>
      </c>
      <c r="M30" s="13">
        <f t="shared" si="3"/>
        <v>535</v>
      </c>
      <c r="N30" s="13">
        <f t="shared" si="4"/>
        <v>535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0.66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0.39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0.3</v>
      </c>
    </row>
    <row r="31">
      <c r="A31" s="1" t="s">
        <v>36</v>
      </c>
      <c r="B31" s="12">
        <v>186.0</v>
      </c>
      <c r="C31" s="12">
        <v>186.0</v>
      </c>
      <c r="D31" s="7">
        <f t="shared" si="1"/>
        <v>0</v>
      </c>
      <c r="E31" s="9">
        <v>0.32</v>
      </c>
      <c r="F31" s="9">
        <v>186.0</v>
      </c>
      <c r="G31" s="9">
        <v>186.0</v>
      </c>
      <c r="H31" s="7">
        <f t="shared" si="2"/>
        <v>0</v>
      </c>
      <c r="I31" s="9">
        <v>0.11</v>
      </c>
      <c r="J31" s="9">
        <v>186.0</v>
      </c>
      <c r="K31" s="9">
        <v>186.0</v>
      </c>
      <c r="L31" s="9">
        <v>0.1</v>
      </c>
      <c r="M31" s="13">
        <f t="shared" si="3"/>
        <v>186</v>
      </c>
      <c r="N31" s="13">
        <f t="shared" si="4"/>
        <v>186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0.32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0.11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0.1</v>
      </c>
    </row>
    <row r="32">
      <c r="A32" s="1" t="s">
        <v>37</v>
      </c>
      <c r="B32" s="12">
        <v>520.0</v>
      </c>
      <c r="C32" s="12">
        <v>520.0</v>
      </c>
      <c r="D32" s="7">
        <f t="shared" si="1"/>
        <v>0</v>
      </c>
      <c r="E32" s="9">
        <v>3.12</v>
      </c>
      <c r="F32" s="9">
        <v>520.0</v>
      </c>
      <c r="G32" s="9">
        <v>520.0</v>
      </c>
      <c r="H32" s="7">
        <f t="shared" si="2"/>
        <v>0</v>
      </c>
      <c r="I32" s="9">
        <v>0.55</v>
      </c>
      <c r="J32" s="9">
        <v>520.0</v>
      </c>
      <c r="K32" s="9">
        <v>520.0</v>
      </c>
      <c r="L32" s="9">
        <v>0.99</v>
      </c>
      <c r="M32" s="13">
        <f t="shared" si="3"/>
        <v>520</v>
      </c>
      <c r="N32" s="13">
        <f t="shared" si="4"/>
        <v>520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3.12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0.55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0.99</v>
      </c>
      <c r="AD32" s="7">
        <f t="shared" ref="AD32:AE32" si="18">AVERAGE(Q3:Q32)</f>
        <v>0</v>
      </c>
      <c r="AE32" s="7">
        <f t="shared" si="18"/>
        <v>0</v>
      </c>
      <c r="AF32" s="13">
        <f>COUNTIF(S3:S32, "TRUE")</f>
        <v>30</v>
      </c>
      <c r="AG32" s="13">
        <f>COUNTIF(Q3:Q32,"=0")</f>
        <v>30</v>
      </c>
      <c r="AH32" s="13">
        <f t="shared" ref="AH32:AJ32" si="19">AVERAGE(T3:T32)</f>
        <v>12.921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0.3443333333</v>
      </c>
      <c r="AN32" s="7">
        <f t="shared" si="20"/>
        <v>0</v>
      </c>
      <c r="AO32" s="7">
        <f t="shared" si="20"/>
        <v>0</v>
      </c>
      <c r="AP32" s="13">
        <f>COUNTIF(AA3:AA32, "TRUE")</f>
        <v>30</v>
      </c>
      <c r="AQ32" s="13">
        <f>AVERAGE(AB3:AB32)</f>
        <v>1.022</v>
      </c>
    </row>
    <row r="33">
      <c r="A33" s="1" t="s">
        <v>38</v>
      </c>
      <c r="B33" s="12">
        <v>467.0</v>
      </c>
      <c r="C33" s="12">
        <v>475.0</v>
      </c>
      <c r="D33" s="7">
        <f t="shared" si="1"/>
        <v>0.01713062099</v>
      </c>
      <c r="E33" s="9">
        <v>3600.0</v>
      </c>
      <c r="F33" s="9">
        <v>467.0</v>
      </c>
      <c r="G33" s="9">
        <v>467.0</v>
      </c>
      <c r="H33" s="7">
        <f t="shared" si="2"/>
        <v>0</v>
      </c>
      <c r="I33" s="9">
        <v>58.07</v>
      </c>
      <c r="J33" s="9">
        <v>467.0</v>
      </c>
      <c r="K33" s="9">
        <v>467.0</v>
      </c>
      <c r="L33" s="9">
        <v>28.88</v>
      </c>
      <c r="M33" s="13">
        <f t="shared" si="3"/>
        <v>467</v>
      </c>
      <c r="N33" s="13">
        <f t="shared" si="4"/>
        <v>467</v>
      </c>
      <c r="O33" s="7">
        <f t="shared" si="5"/>
        <v>0</v>
      </c>
      <c r="Q33" s="7">
        <f t="shared" si="6"/>
        <v>0.01713062099</v>
      </c>
      <c r="R33" s="7">
        <f t="shared" si="7"/>
        <v>0</v>
      </c>
      <c r="S33" s="13" t="b">
        <f t="shared" si="8"/>
        <v>1</v>
      </c>
      <c r="T33" s="13">
        <f t="shared" si="9"/>
        <v>3600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58.07</v>
      </c>
      <c r="Y33" s="7">
        <f t="shared" si="14"/>
        <v>0</v>
      </c>
      <c r="Z33" s="7">
        <f t="shared" si="15"/>
        <v>0</v>
      </c>
      <c r="AA33" s="13" t="b">
        <f t="shared" si="16"/>
        <v>1</v>
      </c>
      <c r="AB33" s="13">
        <f t="shared" si="17"/>
        <v>28.88</v>
      </c>
    </row>
    <row r="34">
      <c r="A34" s="1" t="s">
        <v>39</v>
      </c>
      <c r="B34" s="12">
        <v>741.0</v>
      </c>
      <c r="C34" s="12">
        <v>741.0</v>
      </c>
      <c r="D34" s="7">
        <f t="shared" si="1"/>
        <v>0</v>
      </c>
      <c r="E34" s="9">
        <v>805.3</v>
      </c>
      <c r="F34" s="9">
        <v>741.0</v>
      </c>
      <c r="G34" s="9">
        <v>741.0</v>
      </c>
      <c r="H34" s="7">
        <f t="shared" si="2"/>
        <v>0</v>
      </c>
      <c r="I34" s="9">
        <v>28.8</v>
      </c>
      <c r="J34" s="9">
        <v>741.0</v>
      </c>
      <c r="K34" s="9">
        <v>741.0</v>
      </c>
      <c r="L34" s="9">
        <v>43.71</v>
      </c>
      <c r="M34" s="13">
        <f t="shared" si="3"/>
        <v>741</v>
      </c>
      <c r="N34" s="13">
        <f t="shared" si="4"/>
        <v>741</v>
      </c>
      <c r="O34" s="7">
        <f t="shared" si="5"/>
        <v>0</v>
      </c>
      <c r="Q34" s="7">
        <f t="shared" si="6"/>
        <v>0</v>
      </c>
      <c r="R34" s="7">
        <f t="shared" si="7"/>
        <v>0</v>
      </c>
      <c r="S34" s="13" t="b">
        <f t="shared" si="8"/>
        <v>1</v>
      </c>
      <c r="T34" s="13">
        <f t="shared" si="9"/>
        <v>805.3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28.8</v>
      </c>
      <c r="Y34" s="7">
        <f t="shared" si="14"/>
        <v>0</v>
      </c>
      <c r="Z34" s="7">
        <f t="shared" si="15"/>
        <v>0</v>
      </c>
      <c r="AA34" s="13" t="b">
        <f t="shared" si="16"/>
        <v>1</v>
      </c>
      <c r="AB34" s="13">
        <f t="shared" si="17"/>
        <v>43.71</v>
      </c>
    </row>
    <row r="35">
      <c r="A35" s="1" t="s">
        <v>40</v>
      </c>
      <c r="B35" s="12">
        <v>623.0</v>
      </c>
      <c r="C35" s="12">
        <v>623.0</v>
      </c>
      <c r="D35" s="7">
        <f t="shared" si="1"/>
        <v>0</v>
      </c>
      <c r="E35" s="9">
        <v>937.17</v>
      </c>
      <c r="F35" s="9">
        <v>623.0</v>
      </c>
      <c r="G35" s="9">
        <v>623.0</v>
      </c>
      <c r="H35" s="7">
        <f t="shared" si="2"/>
        <v>0</v>
      </c>
      <c r="I35" s="9">
        <v>91.63</v>
      </c>
      <c r="J35" s="9">
        <v>623.0</v>
      </c>
      <c r="K35" s="9">
        <v>623.0</v>
      </c>
      <c r="L35" s="9">
        <v>24.94</v>
      </c>
      <c r="M35" s="13">
        <f t="shared" si="3"/>
        <v>623</v>
      </c>
      <c r="N35" s="13">
        <f t="shared" si="4"/>
        <v>623</v>
      </c>
      <c r="O35" s="7">
        <f t="shared" si="5"/>
        <v>0</v>
      </c>
      <c r="Q35" s="7">
        <f t="shared" si="6"/>
        <v>0</v>
      </c>
      <c r="R35" s="7">
        <f t="shared" si="7"/>
        <v>0</v>
      </c>
      <c r="S35" s="13" t="b">
        <f t="shared" si="8"/>
        <v>1</v>
      </c>
      <c r="T35" s="13">
        <f t="shared" si="9"/>
        <v>937.17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91.63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24.94</v>
      </c>
    </row>
    <row r="36">
      <c r="A36" s="1" t="s">
        <v>41</v>
      </c>
      <c r="B36" s="12">
        <v>1540.0</v>
      </c>
      <c r="C36" s="12">
        <v>1548.0</v>
      </c>
      <c r="D36" s="7">
        <f t="shared" si="1"/>
        <v>0.005194805195</v>
      </c>
      <c r="E36" s="9">
        <v>3600.0</v>
      </c>
      <c r="F36" s="9">
        <v>1540.0</v>
      </c>
      <c r="G36" s="9">
        <v>1540.0</v>
      </c>
      <c r="H36" s="7">
        <f t="shared" si="2"/>
        <v>0</v>
      </c>
      <c r="I36" s="9">
        <v>216.51</v>
      </c>
      <c r="J36" s="9">
        <v>1540.0</v>
      </c>
      <c r="K36" s="9">
        <v>1540.0</v>
      </c>
      <c r="L36" s="9">
        <v>45.23</v>
      </c>
      <c r="M36" s="13">
        <f t="shared" si="3"/>
        <v>1540</v>
      </c>
      <c r="N36" s="13">
        <f t="shared" si="4"/>
        <v>1540</v>
      </c>
      <c r="O36" s="7">
        <f t="shared" si="5"/>
        <v>0</v>
      </c>
      <c r="Q36" s="7">
        <f t="shared" si="6"/>
        <v>0.005194805195</v>
      </c>
      <c r="R36" s="7">
        <f t="shared" si="7"/>
        <v>0</v>
      </c>
      <c r="S36" s="13" t="b">
        <f t="shared" si="8"/>
        <v>1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216.51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45.23</v>
      </c>
    </row>
    <row r="37">
      <c r="A37" s="1" t="s">
        <v>42</v>
      </c>
      <c r="B37" s="12">
        <v>885.0</v>
      </c>
      <c r="C37" s="12">
        <v>908.0</v>
      </c>
      <c r="D37" s="7">
        <f t="shared" si="1"/>
        <v>0.02598870056</v>
      </c>
      <c r="E37" s="9">
        <v>3600.0</v>
      </c>
      <c r="F37" s="9">
        <v>887.0</v>
      </c>
      <c r="G37" s="9">
        <v>887.0</v>
      </c>
      <c r="H37" s="7">
        <f t="shared" si="2"/>
        <v>0</v>
      </c>
      <c r="I37" s="9">
        <v>114.58</v>
      </c>
      <c r="J37" s="9">
        <v>887.0</v>
      </c>
      <c r="K37" s="9">
        <v>887.0</v>
      </c>
      <c r="L37" s="9">
        <v>34.63</v>
      </c>
      <c r="M37" s="13">
        <f t="shared" si="3"/>
        <v>887</v>
      </c>
      <c r="N37" s="13">
        <f t="shared" si="4"/>
        <v>887</v>
      </c>
      <c r="O37" s="7">
        <f t="shared" si="5"/>
        <v>0</v>
      </c>
      <c r="Q37" s="7">
        <f t="shared" si="6"/>
        <v>0.02598870056</v>
      </c>
      <c r="R37" s="7">
        <f t="shared" si="7"/>
        <v>0.002259887006</v>
      </c>
      <c r="S37" s="13" t="b">
        <f t="shared" si="8"/>
        <v>0</v>
      </c>
      <c r="T37" s="13">
        <f t="shared" si="9"/>
        <v>3600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114.58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34.63</v>
      </c>
    </row>
    <row r="38">
      <c r="A38" s="1" t="s">
        <v>43</v>
      </c>
      <c r="B38" s="12">
        <v>1098.0</v>
      </c>
      <c r="C38" s="12">
        <v>1103.0</v>
      </c>
      <c r="D38" s="7">
        <f t="shared" si="1"/>
        <v>0.004553734062</v>
      </c>
      <c r="E38" s="9">
        <v>3600.0</v>
      </c>
      <c r="F38" s="9">
        <v>1098.0</v>
      </c>
      <c r="G38" s="9">
        <v>1098.0</v>
      </c>
      <c r="H38" s="7">
        <f t="shared" si="2"/>
        <v>0</v>
      </c>
      <c r="I38" s="9">
        <v>28.02</v>
      </c>
      <c r="J38" s="9">
        <v>1098.0</v>
      </c>
      <c r="K38" s="9">
        <v>1098.0</v>
      </c>
      <c r="L38" s="9">
        <v>1.99</v>
      </c>
      <c r="M38" s="13">
        <f t="shared" si="3"/>
        <v>1098</v>
      </c>
      <c r="N38" s="13">
        <f t="shared" si="4"/>
        <v>1098</v>
      </c>
      <c r="O38" s="7">
        <f t="shared" si="5"/>
        <v>0</v>
      </c>
      <c r="Q38" s="7">
        <f t="shared" si="6"/>
        <v>0.004553734062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</v>
      </c>
      <c r="V38" s="7">
        <f t="shared" si="11"/>
        <v>0</v>
      </c>
      <c r="W38" s="13" t="b">
        <f t="shared" si="12"/>
        <v>1</v>
      </c>
      <c r="X38" s="13">
        <f t="shared" si="13"/>
        <v>28.02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1.99</v>
      </c>
    </row>
    <row r="39">
      <c r="A39" s="1" t="s">
        <v>44</v>
      </c>
      <c r="B39" s="12">
        <v>1611.0</v>
      </c>
      <c r="C39" s="12">
        <v>1637.0</v>
      </c>
      <c r="D39" s="7">
        <f t="shared" si="1"/>
        <v>0.01613904407</v>
      </c>
      <c r="E39" s="9">
        <v>3600.0</v>
      </c>
      <c r="F39" s="9">
        <v>1611.0</v>
      </c>
      <c r="G39" s="9">
        <v>1611.0</v>
      </c>
      <c r="H39" s="7">
        <f t="shared" si="2"/>
        <v>0</v>
      </c>
      <c r="I39" s="9">
        <v>107.22</v>
      </c>
      <c r="J39" s="9">
        <v>1611.0</v>
      </c>
      <c r="K39" s="9">
        <v>1608.9</v>
      </c>
      <c r="L39" s="9">
        <v>33.57</v>
      </c>
      <c r="M39" s="13">
        <f t="shared" si="3"/>
        <v>1611</v>
      </c>
      <c r="N39" s="13">
        <f t="shared" si="4"/>
        <v>1611</v>
      </c>
      <c r="O39" s="7">
        <f t="shared" si="5"/>
        <v>0</v>
      </c>
      <c r="Q39" s="7">
        <f t="shared" si="6"/>
        <v>0.01613904407</v>
      </c>
      <c r="R39" s="7">
        <f t="shared" si="7"/>
        <v>0</v>
      </c>
      <c r="S39" s="13" t="b">
        <f t="shared" si="8"/>
        <v>1</v>
      </c>
      <c r="T39" s="13">
        <f t="shared" si="9"/>
        <v>3600</v>
      </c>
      <c r="U39" s="7">
        <f t="shared" si="10"/>
        <v>0</v>
      </c>
      <c r="V39" s="7">
        <f t="shared" si="11"/>
        <v>0</v>
      </c>
      <c r="W39" s="13" t="b">
        <f t="shared" si="12"/>
        <v>1</v>
      </c>
      <c r="X39" s="13">
        <f t="shared" si="13"/>
        <v>107.22</v>
      </c>
      <c r="Y39" s="7">
        <f t="shared" si="14"/>
        <v>0</v>
      </c>
      <c r="Z39" s="7">
        <f t="shared" si="15"/>
        <v>0.001305239605</v>
      </c>
      <c r="AA39" s="13" t="b">
        <f t="shared" si="16"/>
        <v>1</v>
      </c>
      <c r="AB39" s="13">
        <f t="shared" si="17"/>
        <v>33.57</v>
      </c>
    </row>
    <row r="40">
      <c r="A40" s="1" t="s">
        <v>45</v>
      </c>
      <c r="B40" s="12">
        <v>1553.0</v>
      </c>
      <c r="C40" s="12">
        <v>1553.0</v>
      </c>
      <c r="D40" s="7">
        <f t="shared" si="1"/>
        <v>0</v>
      </c>
      <c r="E40" s="9">
        <v>46.31</v>
      </c>
      <c r="F40" s="9">
        <v>1553.0</v>
      </c>
      <c r="G40" s="9">
        <v>1553.0</v>
      </c>
      <c r="H40" s="7">
        <f t="shared" si="2"/>
        <v>0</v>
      </c>
      <c r="I40" s="9">
        <v>12.43</v>
      </c>
      <c r="J40" s="9">
        <v>1553.0</v>
      </c>
      <c r="K40" s="9">
        <v>1553.0</v>
      </c>
      <c r="L40" s="9">
        <v>5.85</v>
      </c>
      <c r="M40" s="13">
        <f t="shared" si="3"/>
        <v>1553</v>
      </c>
      <c r="N40" s="13">
        <f t="shared" si="4"/>
        <v>1553</v>
      </c>
      <c r="O40" s="7">
        <f t="shared" si="5"/>
        <v>0</v>
      </c>
      <c r="Q40" s="7">
        <f t="shared" si="6"/>
        <v>0</v>
      </c>
      <c r="R40" s="7">
        <f t="shared" si="7"/>
        <v>0</v>
      </c>
      <c r="S40" s="13" t="b">
        <f t="shared" si="8"/>
        <v>1</v>
      </c>
      <c r="T40" s="13">
        <f t="shared" si="9"/>
        <v>46.31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12.43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5.85</v>
      </c>
    </row>
    <row r="41">
      <c r="A41" s="1" t="s">
        <v>46</v>
      </c>
      <c r="B41" s="12">
        <v>629.0</v>
      </c>
      <c r="C41" s="12">
        <v>629.0</v>
      </c>
      <c r="D41" s="7">
        <f t="shared" si="1"/>
        <v>0</v>
      </c>
      <c r="E41" s="9">
        <v>1064.59</v>
      </c>
      <c r="F41" s="9">
        <v>629.0</v>
      </c>
      <c r="G41" s="9">
        <v>629.0</v>
      </c>
      <c r="H41" s="7">
        <f t="shared" si="2"/>
        <v>0</v>
      </c>
      <c r="I41" s="9">
        <v>78.35</v>
      </c>
      <c r="J41" s="9">
        <v>629.0</v>
      </c>
      <c r="K41" s="9">
        <v>629.0</v>
      </c>
      <c r="L41" s="9">
        <v>8.7</v>
      </c>
      <c r="M41" s="13">
        <f t="shared" si="3"/>
        <v>629</v>
      </c>
      <c r="N41" s="13">
        <f t="shared" si="4"/>
        <v>629</v>
      </c>
      <c r="O41" s="7">
        <f t="shared" si="5"/>
        <v>0</v>
      </c>
      <c r="Q41" s="7">
        <f t="shared" si="6"/>
        <v>0</v>
      </c>
      <c r="R41" s="7">
        <f t="shared" si="7"/>
        <v>0</v>
      </c>
      <c r="S41" s="13" t="b">
        <f t="shared" si="8"/>
        <v>1</v>
      </c>
      <c r="T41" s="13">
        <f t="shared" si="9"/>
        <v>1064.59</v>
      </c>
      <c r="U41" s="7">
        <f t="shared" si="10"/>
        <v>0</v>
      </c>
      <c r="V41" s="7">
        <f t="shared" si="11"/>
        <v>0</v>
      </c>
      <c r="W41" s="13" t="b">
        <f t="shared" si="12"/>
        <v>1</v>
      </c>
      <c r="X41" s="13">
        <f t="shared" si="13"/>
        <v>78.35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8.7</v>
      </c>
    </row>
    <row r="42">
      <c r="A42" s="1" t="s">
        <v>47</v>
      </c>
      <c r="B42" s="12">
        <v>1522.0</v>
      </c>
      <c r="C42" s="12">
        <v>1533.0</v>
      </c>
      <c r="D42" s="7">
        <f t="shared" si="1"/>
        <v>0.007227332457</v>
      </c>
      <c r="E42" s="9">
        <v>3600.0</v>
      </c>
      <c r="F42" s="9">
        <v>1523.0</v>
      </c>
      <c r="G42" s="9">
        <v>1523.0</v>
      </c>
      <c r="H42" s="7">
        <f t="shared" si="2"/>
        <v>0</v>
      </c>
      <c r="I42" s="9">
        <v>2589.53</v>
      </c>
      <c r="J42" s="9">
        <v>1523.0</v>
      </c>
      <c r="K42" s="9">
        <v>1522.5</v>
      </c>
      <c r="L42" s="9">
        <v>28.47</v>
      </c>
      <c r="M42" s="13">
        <f t="shared" si="3"/>
        <v>1523</v>
      </c>
      <c r="N42" s="13">
        <f t="shared" si="4"/>
        <v>1523</v>
      </c>
      <c r="O42" s="7">
        <f t="shared" si="5"/>
        <v>0</v>
      </c>
      <c r="Q42" s="7">
        <f t="shared" si="6"/>
        <v>0.007227332457</v>
      </c>
      <c r="R42" s="7">
        <f t="shared" si="7"/>
        <v>0.0006570302234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2589.53</v>
      </c>
      <c r="Y42" s="7">
        <f t="shared" si="14"/>
        <v>0</v>
      </c>
      <c r="Z42" s="7">
        <f t="shared" si="15"/>
        <v>0.000328407225</v>
      </c>
      <c r="AA42" s="13" t="b">
        <f t="shared" si="16"/>
        <v>1</v>
      </c>
      <c r="AB42" s="13">
        <f t="shared" si="17"/>
        <v>28.47</v>
      </c>
    </row>
    <row r="43">
      <c r="A43" s="1" t="s">
        <v>48</v>
      </c>
      <c r="B43" s="12">
        <v>1425.0</v>
      </c>
      <c r="C43" s="12">
        <v>1463.0</v>
      </c>
      <c r="D43" s="7">
        <f t="shared" si="1"/>
        <v>0.02666666667</v>
      </c>
      <c r="E43" s="9">
        <v>3600.0</v>
      </c>
      <c r="F43" s="9">
        <v>1430.0</v>
      </c>
      <c r="G43" s="9">
        <v>1430.0</v>
      </c>
      <c r="H43" s="7">
        <f t="shared" si="2"/>
        <v>0</v>
      </c>
      <c r="I43" s="9">
        <v>2056.54</v>
      </c>
      <c r="J43" s="9">
        <v>1430.0</v>
      </c>
      <c r="K43" s="9">
        <v>1430.0</v>
      </c>
      <c r="L43" s="9">
        <v>36.92</v>
      </c>
      <c r="M43" s="13">
        <f t="shared" si="3"/>
        <v>1430</v>
      </c>
      <c r="N43" s="13">
        <f t="shared" si="4"/>
        <v>1430</v>
      </c>
      <c r="O43" s="7">
        <f t="shared" si="5"/>
        <v>0</v>
      </c>
      <c r="Q43" s="7">
        <f t="shared" si="6"/>
        <v>0.02666666667</v>
      </c>
      <c r="R43" s="7">
        <f t="shared" si="7"/>
        <v>0.00350877193</v>
      </c>
      <c r="S43" s="13" t="b">
        <f t="shared" si="8"/>
        <v>0</v>
      </c>
      <c r="T43" s="13">
        <f t="shared" si="9"/>
        <v>3600</v>
      </c>
      <c r="U43" s="7">
        <f t="shared" si="10"/>
        <v>0</v>
      </c>
      <c r="V43" s="7">
        <f t="shared" si="11"/>
        <v>0</v>
      </c>
      <c r="W43" s="13" t="b">
        <f t="shared" si="12"/>
        <v>1</v>
      </c>
      <c r="X43" s="13">
        <f t="shared" si="13"/>
        <v>2056.54</v>
      </c>
      <c r="Y43" s="7">
        <f t="shared" si="14"/>
        <v>0</v>
      </c>
      <c r="Z43" s="7">
        <f t="shared" si="15"/>
        <v>0</v>
      </c>
      <c r="AA43" s="13" t="b">
        <f t="shared" si="16"/>
        <v>1</v>
      </c>
      <c r="AB43" s="13">
        <f t="shared" si="17"/>
        <v>36.92</v>
      </c>
    </row>
    <row r="44">
      <c r="A44" s="1" t="s">
        <v>49</v>
      </c>
      <c r="B44" s="12">
        <v>1581.0</v>
      </c>
      <c r="C44" s="12">
        <v>1600.0</v>
      </c>
      <c r="D44" s="7">
        <f t="shared" si="1"/>
        <v>0.01201771031</v>
      </c>
      <c r="E44" s="9">
        <v>3600.0</v>
      </c>
      <c r="F44" s="9">
        <v>1583.0</v>
      </c>
      <c r="G44" s="9">
        <v>1592.0</v>
      </c>
      <c r="H44" s="7">
        <f t="shared" si="2"/>
        <v>0.005685407454</v>
      </c>
      <c r="I44" s="9">
        <v>3600.0</v>
      </c>
      <c r="J44" s="9">
        <v>1584.0</v>
      </c>
      <c r="K44" s="9">
        <v>1583.2</v>
      </c>
      <c r="L44" s="9">
        <v>88.34</v>
      </c>
      <c r="M44" s="13">
        <f t="shared" si="3"/>
        <v>1584</v>
      </c>
      <c r="N44" s="13">
        <f t="shared" si="4"/>
        <v>1592</v>
      </c>
      <c r="O44" s="7">
        <f t="shared" si="5"/>
        <v>0.005050505051</v>
      </c>
      <c r="Q44" s="7">
        <f t="shared" si="6"/>
        <v>0.01201771031</v>
      </c>
      <c r="R44" s="7">
        <f t="shared" si="7"/>
        <v>0.001897533207</v>
      </c>
      <c r="S44" s="13" t="b">
        <f t="shared" si="8"/>
        <v>0</v>
      </c>
      <c r="T44" s="13">
        <f t="shared" si="9"/>
        <v>3600</v>
      </c>
      <c r="U44" s="7">
        <f t="shared" si="10"/>
        <v>0.005685407454</v>
      </c>
      <c r="V44" s="7">
        <f t="shared" si="11"/>
        <v>0.0006317119394</v>
      </c>
      <c r="W44" s="13" t="b">
        <f t="shared" si="12"/>
        <v>0</v>
      </c>
      <c r="X44" s="13">
        <f t="shared" si="13"/>
        <v>3600</v>
      </c>
      <c r="Y44" s="7">
        <f t="shared" si="14"/>
        <v>0</v>
      </c>
      <c r="Z44" s="7">
        <f t="shared" si="15"/>
        <v>0.00050530571</v>
      </c>
      <c r="AA44" s="13" t="b">
        <f t="shared" si="16"/>
        <v>1</v>
      </c>
      <c r="AB44" s="13">
        <f t="shared" si="17"/>
        <v>88.34</v>
      </c>
    </row>
    <row r="45">
      <c r="A45" s="1" t="s">
        <v>50</v>
      </c>
      <c r="B45" s="12">
        <v>1826.0</v>
      </c>
      <c r="C45" s="12">
        <v>1868.0</v>
      </c>
      <c r="D45" s="7">
        <f t="shared" si="1"/>
        <v>0.02300109529</v>
      </c>
      <c r="E45" s="9">
        <v>3600.0</v>
      </c>
      <c r="F45" s="9">
        <v>1826.0</v>
      </c>
      <c r="G45" s="9">
        <v>1857.0</v>
      </c>
      <c r="H45" s="7">
        <f t="shared" si="2"/>
        <v>0.0169769989</v>
      </c>
      <c r="I45" s="9">
        <v>3600.0</v>
      </c>
      <c r="J45" s="9">
        <v>1826.0</v>
      </c>
      <c r="K45" s="9">
        <v>1826.0</v>
      </c>
      <c r="L45" s="9">
        <v>33.93</v>
      </c>
      <c r="M45" s="13">
        <f t="shared" si="3"/>
        <v>1826</v>
      </c>
      <c r="N45" s="13">
        <f t="shared" si="4"/>
        <v>1857</v>
      </c>
      <c r="O45" s="7">
        <f t="shared" si="5"/>
        <v>0.0169769989</v>
      </c>
      <c r="Q45" s="7">
        <f t="shared" si="6"/>
        <v>0.02300109529</v>
      </c>
      <c r="R45" s="7">
        <f t="shared" si="7"/>
        <v>0</v>
      </c>
      <c r="S45" s="13" t="b">
        <f t="shared" si="8"/>
        <v>1</v>
      </c>
      <c r="T45" s="13">
        <f t="shared" si="9"/>
        <v>3600</v>
      </c>
      <c r="U45" s="7">
        <f t="shared" si="10"/>
        <v>0.0169769989</v>
      </c>
      <c r="V45" s="7">
        <f t="shared" si="11"/>
        <v>0</v>
      </c>
      <c r="W45" s="13" t="b">
        <f t="shared" si="12"/>
        <v>1</v>
      </c>
      <c r="X45" s="13">
        <f t="shared" si="13"/>
        <v>3600</v>
      </c>
      <c r="Y45" s="7">
        <f t="shared" si="14"/>
        <v>0</v>
      </c>
      <c r="Z45" s="7">
        <f t="shared" si="15"/>
        <v>0</v>
      </c>
      <c r="AA45" s="13" t="b">
        <f t="shared" si="16"/>
        <v>1</v>
      </c>
      <c r="AB45" s="13">
        <f t="shared" si="17"/>
        <v>33.93</v>
      </c>
    </row>
    <row r="46">
      <c r="A46" s="1" t="s">
        <v>51</v>
      </c>
      <c r="B46" s="12">
        <v>1089.0</v>
      </c>
      <c r="C46" s="12">
        <v>1876.0</v>
      </c>
      <c r="D46" s="7">
        <f t="shared" si="1"/>
        <v>0.722681359</v>
      </c>
      <c r="E46" s="9">
        <v>3600.0</v>
      </c>
      <c r="F46" s="9">
        <v>1089.0</v>
      </c>
      <c r="G46" s="9">
        <v>1089.0</v>
      </c>
      <c r="H46" s="7">
        <f t="shared" si="2"/>
        <v>0</v>
      </c>
      <c r="I46" s="9">
        <v>2534.24</v>
      </c>
      <c r="J46" s="9">
        <v>1089.0</v>
      </c>
      <c r="K46" s="9">
        <v>1089.0</v>
      </c>
      <c r="L46" s="9">
        <v>47.5</v>
      </c>
      <c r="M46" s="13">
        <f t="shared" si="3"/>
        <v>1089</v>
      </c>
      <c r="N46" s="13">
        <f t="shared" si="4"/>
        <v>1089</v>
      </c>
      <c r="O46" s="7">
        <f t="shared" si="5"/>
        <v>0</v>
      </c>
      <c r="Q46" s="7">
        <f t="shared" si="6"/>
        <v>0.722681359</v>
      </c>
      <c r="R46" s="7">
        <f t="shared" si="7"/>
        <v>0</v>
      </c>
      <c r="S46" s="13" t="b">
        <f t="shared" si="8"/>
        <v>1</v>
      </c>
      <c r="T46" s="13">
        <f t="shared" si="9"/>
        <v>3600</v>
      </c>
      <c r="U46" s="7">
        <f t="shared" si="10"/>
        <v>0</v>
      </c>
      <c r="V46" s="7">
        <f t="shared" si="11"/>
        <v>0</v>
      </c>
      <c r="W46" s="13" t="b">
        <f t="shared" si="12"/>
        <v>1</v>
      </c>
      <c r="X46" s="13">
        <f t="shared" si="13"/>
        <v>2534.24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47.5</v>
      </c>
    </row>
    <row r="47">
      <c r="A47" s="1" t="s">
        <v>52</v>
      </c>
      <c r="B47" s="12">
        <v>1369.0</v>
      </c>
      <c r="C47" s="12">
        <v>1455.0</v>
      </c>
      <c r="D47" s="7">
        <f t="shared" si="1"/>
        <v>0.06281957633</v>
      </c>
      <c r="E47" s="9">
        <v>3600.0</v>
      </c>
      <c r="F47" s="9">
        <v>1373.0</v>
      </c>
      <c r="G47" s="9">
        <v>1414.0</v>
      </c>
      <c r="H47" s="7">
        <f t="shared" si="2"/>
        <v>0.0298616169</v>
      </c>
      <c r="I47" s="9">
        <v>3600.0</v>
      </c>
      <c r="J47" s="9">
        <v>1373.0</v>
      </c>
      <c r="K47" s="9">
        <v>1372.7</v>
      </c>
      <c r="L47" s="9">
        <v>80.58</v>
      </c>
      <c r="M47" s="13">
        <f t="shared" si="3"/>
        <v>1373</v>
      </c>
      <c r="N47" s="13">
        <f t="shared" si="4"/>
        <v>1414</v>
      </c>
      <c r="O47" s="7">
        <f t="shared" si="5"/>
        <v>0.0298616169</v>
      </c>
      <c r="Q47" s="7">
        <f t="shared" si="6"/>
        <v>0.06281957633</v>
      </c>
      <c r="R47" s="7">
        <f t="shared" si="7"/>
        <v>0.00292184076</v>
      </c>
      <c r="S47" s="13" t="b">
        <f t="shared" si="8"/>
        <v>0</v>
      </c>
      <c r="T47" s="13">
        <f t="shared" si="9"/>
        <v>3600</v>
      </c>
      <c r="U47" s="7">
        <f t="shared" si="10"/>
        <v>0.0298616169</v>
      </c>
      <c r="V47" s="7">
        <f t="shared" si="11"/>
        <v>0</v>
      </c>
      <c r="W47" s="13" t="b">
        <f t="shared" si="12"/>
        <v>1</v>
      </c>
      <c r="X47" s="13">
        <f t="shared" si="13"/>
        <v>3600</v>
      </c>
      <c r="Y47" s="7">
        <f t="shared" si="14"/>
        <v>0</v>
      </c>
      <c r="Z47" s="7">
        <f t="shared" si="15"/>
        <v>0.0002185473884</v>
      </c>
      <c r="AA47" s="13" t="b">
        <f t="shared" si="16"/>
        <v>1</v>
      </c>
      <c r="AB47" s="13">
        <f t="shared" si="17"/>
        <v>80.58</v>
      </c>
    </row>
    <row r="48">
      <c r="A48" s="1" t="s">
        <v>53</v>
      </c>
      <c r="B48" s="12">
        <v>1839.0</v>
      </c>
      <c r="C48" s="12">
        <v>2016.0</v>
      </c>
      <c r="D48" s="7">
        <f t="shared" si="1"/>
        <v>0.09624796085</v>
      </c>
      <c r="E48" s="9">
        <v>3600.0</v>
      </c>
      <c r="F48" s="9">
        <v>1841.0</v>
      </c>
      <c r="G48" s="9">
        <v>1853.0</v>
      </c>
      <c r="H48" s="7">
        <f t="shared" si="2"/>
        <v>0.006518196632</v>
      </c>
      <c r="I48" s="9">
        <v>3600.0</v>
      </c>
      <c r="J48" s="9">
        <v>1841.0</v>
      </c>
      <c r="K48" s="9">
        <v>1840.8</v>
      </c>
      <c r="L48" s="9">
        <v>36.75</v>
      </c>
      <c r="M48" s="13">
        <f t="shared" si="3"/>
        <v>1841</v>
      </c>
      <c r="N48" s="13">
        <f t="shared" si="4"/>
        <v>1853</v>
      </c>
      <c r="O48" s="7">
        <f t="shared" si="5"/>
        <v>0.006518196632</v>
      </c>
      <c r="Q48" s="7">
        <f t="shared" si="6"/>
        <v>0.09624796085</v>
      </c>
      <c r="R48" s="7">
        <f t="shared" si="7"/>
        <v>0.00108754758</v>
      </c>
      <c r="S48" s="13" t="b">
        <f t="shared" si="8"/>
        <v>0</v>
      </c>
      <c r="T48" s="13">
        <f t="shared" si="9"/>
        <v>3600</v>
      </c>
      <c r="U48" s="7">
        <f t="shared" si="10"/>
        <v>0.006518196632</v>
      </c>
      <c r="V48" s="7">
        <f t="shared" si="11"/>
        <v>0</v>
      </c>
      <c r="W48" s="13" t="b">
        <f t="shared" si="12"/>
        <v>1</v>
      </c>
      <c r="X48" s="13">
        <f t="shared" si="13"/>
        <v>3600</v>
      </c>
      <c r="Y48" s="7">
        <f t="shared" si="14"/>
        <v>0</v>
      </c>
      <c r="Z48" s="7">
        <f t="shared" si="15"/>
        <v>0.0001086484137</v>
      </c>
      <c r="AA48" s="13" t="b">
        <f t="shared" si="16"/>
        <v>1</v>
      </c>
      <c r="AB48" s="13">
        <f t="shared" si="17"/>
        <v>36.75</v>
      </c>
    </row>
    <row r="49">
      <c r="A49" s="1" t="s">
        <v>54</v>
      </c>
      <c r="B49" s="12">
        <v>2026.0</v>
      </c>
      <c r="C49" s="12">
        <v>2472.0</v>
      </c>
      <c r="D49" s="7">
        <f t="shared" si="1"/>
        <v>0.2201382034</v>
      </c>
      <c r="E49" s="9">
        <v>3600.0</v>
      </c>
      <c r="F49" s="9">
        <v>2035.0</v>
      </c>
      <c r="G49" s="9">
        <v>2470.0</v>
      </c>
      <c r="H49" s="7">
        <f t="shared" si="2"/>
        <v>0.2137592138</v>
      </c>
      <c r="I49" s="9">
        <v>3600.0</v>
      </c>
      <c r="J49" s="9">
        <v>2035.0</v>
      </c>
      <c r="K49" s="9">
        <v>2035.0</v>
      </c>
      <c r="L49" s="9">
        <v>55.02</v>
      </c>
      <c r="M49" s="13">
        <f t="shared" si="3"/>
        <v>2035</v>
      </c>
      <c r="N49" s="13">
        <f t="shared" si="4"/>
        <v>2470</v>
      </c>
      <c r="O49" s="7">
        <f t="shared" si="5"/>
        <v>0.2137592138</v>
      </c>
      <c r="Q49" s="7">
        <f t="shared" si="6"/>
        <v>0.2201382034</v>
      </c>
      <c r="R49" s="7">
        <f t="shared" si="7"/>
        <v>0.00444225074</v>
      </c>
      <c r="S49" s="13" t="b">
        <f t="shared" si="8"/>
        <v>0</v>
      </c>
      <c r="T49" s="13">
        <f t="shared" si="9"/>
        <v>3600</v>
      </c>
      <c r="U49" s="7">
        <f t="shared" si="10"/>
        <v>0.2137592138</v>
      </c>
      <c r="V49" s="7">
        <f t="shared" si="11"/>
        <v>0</v>
      </c>
      <c r="W49" s="13" t="b">
        <f t="shared" si="12"/>
        <v>1</v>
      </c>
      <c r="X49" s="13">
        <f t="shared" si="13"/>
        <v>3600</v>
      </c>
      <c r="Y49" s="7">
        <f t="shared" si="14"/>
        <v>0</v>
      </c>
      <c r="Z49" s="7">
        <f t="shared" si="15"/>
        <v>0</v>
      </c>
      <c r="AA49" s="13" t="b">
        <f t="shared" si="16"/>
        <v>1</v>
      </c>
      <c r="AB49" s="13">
        <f t="shared" si="17"/>
        <v>55.02</v>
      </c>
    </row>
    <row r="50">
      <c r="A50" s="1" t="s">
        <v>55</v>
      </c>
      <c r="B50" s="12">
        <v>1762.0</v>
      </c>
      <c r="C50" s="12">
        <v>2327.0</v>
      </c>
      <c r="D50" s="7">
        <f t="shared" si="1"/>
        <v>0.3206583428</v>
      </c>
      <c r="E50" s="9">
        <v>3600.0</v>
      </c>
      <c r="F50" s="9">
        <v>1771.0</v>
      </c>
      <c r="G50" s="9">
        <v>2436.0</v>
      </c>
      <c r="H50" s="7">
        <f t="shared" si="2"/>
        <v>0.3754940711</v>
      </c>
      <c r="I50" s="9">
        <v>3600.0</v>
      </c>
      <c r="J50" s="9">
        <v>1771.0</v>
      </c>
      <c r="K50" s="9">
        <v>1771.0</v>
      </c>
      <c r="L50" s="9">
        <v>63.46</v>
      </c>
      <c r="M50" s="13">
        <f t="shared" si="3"/>
        <v>1771</v>
      </c>
      <c r="N50" s="13">
        <f t="shared" si="4"/>
        <v>2327</v>
      </c>
      <c r="O50" s="7">
        <f t="shared" si="5"/>
        <v>0.3139469226</v>
      </c>
      <c r="Q50" s="7">
        <f t="shared" si="6"/>
        <v>0.3206583428</v>
      </c>
      <c r="R50" s="7">
        <f t="shared" si="7"/>
        <v>0.005107832009</v>
      </c>
      <c r="S50" s="13" t="b">
        <f t="shared" si="8"/>
        <v>0</v>
      </c>
      <c r="T50" s="13">
        <f t="shared" si="9"/>
        <v>3600</v>
      </c>
      <c r="U50" s="7">
        <f t="shared" si="10"/>
        <v>0.3754940711</v>
      </c>
      <c r="V50" s="7">
        <f t="shared" si="11"/>
        <v>0</v>
      </c>
      <c r="W50" s="13" t="b">
        <f t="shared" si="12"/>
        <v>1</v>
      </c>
      <c r="X50" s="13">
        <f t="shared" si="13"/>
        <v>3600</v>
      </c>
      <c r="Y50" s="7">
        <f t="shared" si="14"/>
        <v>0</v>
      </c>
      <c r="Z50" s="7">
        <f t="shared" si="15"/>
        <v>0</v>
      </c>
      <c r="AA50" s="13" t="b">
        <f t="shared" si="16"/>
        <v>1</v>
      </c>
      <c r="AB50" s="13">
        <f t="shared" si="17"/>
        <v>63.46</v>
      </c>
    </row>
    <row r="51">
      <c r="A51" s="1" t="s">
        <v>56</v>
      </c>
      <c r="B51" s="12">
        <v>2580.0</v>
      </c>
      <c r="C51" s="12">
        <v>2596.0</v>
      </c>
      <c r="D51" s="7">
        <f t="shared" si="1"/>
        <v>0.006201550388</v>
      </c>
      <c r="E51" s="9">
        <v>3600.0</v>
      </c>
      <c r="F51" s="9">
        <v>2584.0</v>
      </c>
      <c r="G51" s="9">
        <v>2587.0</v>
      </c>
      <c r="H51" s="7">
        <f t="shared" si="2"/>
        <v>0.001160990712</v>
      </c>
      <c r="I51" s="9">
        <v>3600.0</v>
      </c>
      <c r="J51" s="9">
        <v>2584.0</v>
      </c>
      <c r="K51" s="9">
        <v>2580.7</v>
      </c>
      <c r="L51" s="9">
        <v>147.23</v>
      </c>
      <c r="M51" s="13">
        <f t="shared" si="3"/>
        <v>2584</v>
      </c>
      <c r="N51" s="13">
        <f t="shared" si="4"/>
        <v>2587</v>
      </c>
      <c r="O51" s="7">
        <f t="shared" si="5"/>
        <v>0.001160990712</v>
      </c>
      <c r="Q51" s="7">
        <f t="shared" si="6"/>
        <v>0.006201550388</v>
      </c>
      <c r="R51" s="7">
        <f t="shared" si="7"/>
        <v>0.001550387597</v>
      </c>
      <c r="S51" s="13" t="b">
        <f t="shared" si="8"/>
        <v>0</v>
      </c>
      <c r="T51" s="13">
        <f t="shared" si="9"/>
        <v>3600</v>
      </c>
      <c r="U51" s="7">
        <f t="shared" si="10"/>
        <v>0.001160990712</v>
      </c>
      <c r="V51" s="7">
        <f t="shared" si="11"/>
        <v>0</v>
      </c>
      <c r="W51" s="13" t="b">
        <f t="shared" si="12"/>
        <v>1</v>
      </c>
      <c r="X51" s="13">
        <f t="shared" si="13"/>
        <v>3600</v>
      </c>
      <c r="Y51" s="7">
        <f t="shared" si="14"/>
        <v>0</v>
      </c>
      <c r="Z51" s="7">
        <f t="shared" si="15"/>
        <v>0.001278722827</v>
      </c>
      <c r="AA51" s="13" t="b">
        <f t="shared" si="16"/>
        <v>1</v>
      </c>
      <c r="AB51" s="13">
        <f t="shared" si="17"/>
        <v>147.23</v>
      </c>
    </row>
    <row r="52">
      <c r="A52" s="1" t="s">
        <v>57</v>
      </c>
      <c r="B52" s="12">
        <v>2149.0</v>
      </c>
      <c r="C52" s="12">
        <v>2791.0</v>
      </c>
      <c r="D52" s="7">
        <f t="shared" si="1"/>
        <v>0.2987436017</v>
      </c>
      <c r="E52" s="9">
        <v>3600.0</v>
      </c>
      <c r="F52" s="9">
        <v>2349.0</v>
      </c>
      <c r="G52" s="9">
        <v>2700.0</v>
      </c>
      <c r="H52" s="7">
        <f t="shared" si="2"/>
        <v>0.1494252874</v>
      </c>
      <c r="I52" s="9">
        <v>3600.0</v>
      </c>
      <c r="J52" s="9">
        <v>2347.0</v>
      </c>
      <c r="K52" s="9">
        <v>2325.3</v>
      </c>
      <c r="L52" s="9">
        <v>71.31</v>
      </c>
      <c r="M52" s="13">
        <f t="shared" si="3"/>
        <v>2349</v>
      </c>
      <c r="N52" s="13">
        <f t="shared" si="4"/>
        <v>2700</v>
      </c>
      <c r="O52" s="7">
        <f t="shared" si="5"/>
        <v>0.1494252874</v>
      </c>
      <c r="Q52" s="7">
        <f t="shared" si="6"/>
        <v>0.2987436017</v>
      </c>
      <c r="R52" s="7">
        <f t="shared" si="7"/>
        <v>0.09306654258</v>
      </c>
      <c r="S52" s="13" t="b">
        <f t="shared" si="8"/>
        <v>0</v>
      </c>
      <c r="T52" s="13">
        <f t="shared" si="9"/>
        <v>3600</v>
      </c>
      <c r="U52" s="7">
        <f t="shared" si="10"/>
        <v>0.1494252874</v>
      </c>
      <c r="V52" s="7">
        <f t="shared" si="11"/>
        <v>0</v>
      </c>
      <c r="W52" s="13" t="b">
        <f t="shared" si="12"/>
        <v>1</v>
      </c>
      <c r="X52" s="13">
        <f t="shared" si="13"/>
        <v>3600</v>
      </c>
      <c r="Y52" s="7">
        <f t="shared" si="14"/>
        <v>0.000852151683</v>
      </c>
      <c r="Z52" s="7">
        <f t="shared" si="15"/>
        <v>0.01019223326</v>
      </c>
      <c r="AA52" s="13" t="b">
        <f t="shared" si="16"/>
        <v>0</v>
      </c>
      <c r="AB52" s="13">
        <f t="shared" si="17"/>
        <v>71.31</v>
      </c>
    </row>
    <row r="53">
      <c r="A53" s="1" t="s">
        <v>58</v>
      </c>
      <c r="B53" s="12">
        <v>1652.0</v>
      </c>
      <c r="C53" s="12">
        <v>3670.0</v>
      </c>
      <c r="D53" s="7">
        <f t="shared" si="1"/>
        <v>1.221549637</v>
      </c>
      <c r="E53" s="9">
        <v>3600.0</v>
      </c>
      <c r="F53" s="9">
        <v>1652.0</v>
      </c>
      <c r="G53" s="9">
        <v>2553.0</v>
      </c>
      <c r="H53" s="7">
        <f t="shared" si="2"/>
        <v>0.5453995157</v>
      </c>
      <c r="I53" s="9">
        <v>3600.0</v>
      </c>
      <c r="J53" s="9">
        <v>1652.0</v>
      </c>
      <c r="K53" s="9">
        <v>1652.0</v>
      </c>
      <c r="L53" s="9">
        <v>17.51</v>
      </c>
      <c r="M53" s="13">
        <f t="shared" si="3"/>
        <v>1652</v>
      </c>
      <c r="N53" s="13">
        <f t="shared" si="4"/>
        <v>2553</v>
      </c>
      <c r="O53" s="7">
        <f t="shared" si="5"/>
        <v>0.5453995157</v>
      </c>
      <c r="Q53" s="7">
        <f t="shared" si="6"/>
        <v>1.221549637</v>
      </c>
      <c r="R53" s="7">
        <f t="shared" si="7"/>
        <v>0</v>
      </c>
      <c r="S53" s="13" t="b">
        <f t="shared" si="8"/>
        <v>1</v>
      </c>
      <c r="T53" s="13">
        <f t="shared" si="9"/>
        <v>3600</v>
      </c>
      <c r="U53" s="7">
        <f t="shared" si="10"/>
        <v>0.5453995157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17.51</v>
      </c>
    </row>
    <row r="54">
      <c r="A54" s="1" t="s">
        <v>59</v>
      </c>
      <c r="B54" s="12">
        <v>2329.0</v>
      </c>
      <c r="C54" s="12">
        <v>2444.0</v>
      </c>
      <c r="D54" s="7">
        <f t="shared" si="1"/>
        <v>0.0493774152</v>
      </c>
      <c r="E54" s="9">
        <v>3600.0</v>
      </c>
      <c r="F54" s="9">
        <v>2366.0</v>
      </c>
      <c r="G54" s="9">
        <v>2366.0</v>
      </c>
      <c r="H54" s="7">
        <f t="shared" si="2"/>
        <v>0</v>
      </c>
      <c r="I54" s="9">
        <v>1125.94</v>
      </c>
      <c r="J54" s="9">
        <v>2366.0</v>
      </c>
      <c r="K54" s="9">
        <v>2366.0</v>
      </c>
      <c r="L54" s="9">
        <v>112.94</v>
      </c>
      <c r="M54" s="13">
        <f t="shared" si="3"/>
        <v>2366</v>
      </c>
      <c r="N54" s="13">
        <f t="shared" si="4"/>
        <v>2366</v>
      </c>
      <c r="O54" s="7">
        <f t="shared" si="5"/>
        <v>0</v>
      </c>
      <c r="Q54" s="7">
        <f t="shared" si="6"/>
        <v>0.0493774152</v>
      </c>
      <c r="R54" s="7">
        <f t="shared" si="7"/>
        <v>0.01588664663</v>
      </c>
      <c r="S54" s="13" t="b">
        <f t="shared" si="8"/>
        <v>0</v>
      </c>
      <c r="T54" s="13">
        <f t="shared" si="9"/>
        <v>3600</v>
      </c>
      <c r="U54" s="7">
        <f t="shared" si="10"/>
        <v>0</v>
      </c>
      <c r="V54" s="7">
        <f t="shared" si="11"/>
        <v>0</v>
      </c>
      <c r="W54" s="13" t="b">
        <f t="shared" si="12"/>
        <v>1</v>
      </c>
      <c r="X54" s="13">
        <f t="shared" si="13"/>
        <v>1125.94</v>
      </c>
      <c r="Y54" s="7">
        <f t="shared" si="14"/>
        <v>0</v>
      </c>
      <c r="Z54" s="7">
        <f t="shared" si="15"/>
        <v>0</v>
      </c>
      <c r="AA54" s="13" t="b">
        <f t="shared" si="16"/>
        <v>1</v>
      </c>
      <c r="AB54" s="13">
        <f t="shared" si="17"/>
        <v>112.94</v>
      </c>
    </row>
    <row r="55">
      <c r="A55" s="1" t="s">
        <v>60</v>
      </c>
      <c r="B55" s="12">
        <v>2122.0</v>
      </c>
      <c r="C55" s="12">
        <v>2613.0</v>
      </c>
      <c r="D55" s="7">
        <f t="shared" si="1"/>
        <v>0.2313854854</v>
      </c>
      <c r="E55" s="9">
        <v>3600.0</v>
      </c>
      <c r="F55" s="9">
        <v>2263.0</v>
      </c>
      <c r="G55" s="9">
        <v>2485.0</v>
      </c>
      <c r="H55" s="7">
        <f t="shared" si="2"/>
        <v>0.09809986743</v>
      </c>
      <c r="I55" s="9">
        <v>3600.0</v>
      </c>
      <c r="J55" s="9">
        <v>2265.0</v>
      </c>
      <c r="K55" s="9">
        <v>2264.3</v>
      </c>
      <c r="L55" s="9">
        <v>139.82</v>
      </c>
      <c r="M55" s="13">
        <f t="shared" si="3"/>
        <v>2265</v>
      </c>
      <c r="N55" s="13">
        <f t="shared" si="4"/>
        <v>2485</v>
      </c>
      <c r="O55" s="7">
        <f t="shared" si="5"/>
        <v>0.09713024283</v>
      </c>
      <c r="Q55" s="7">
        <f t="shared" si="6"/>
        <v>0.2313854854</v>
      </c>
      <c r="R55" s="7">
        <f t="shared" si="7"/>
        <v>0.06738925542</v>
      </c>
      <c r="S55" s="13" t="b">
        <f t="shared" si="8"/>
        <v>0</v>
      </c>
      <c r="T55" s="13">
        <f t="shared" si="9"/>
        <v>3600</v>
      </c>
      <c r="U55" s="7">
        <f t="shared" si="10"/>
        <v>0.09809986743</v>
      </c>
      <c r="V55" s="7">
        <f t="shared" si="11"/>
        <v>0.0008837825895</v>
      </c>
      <c r="W55" s="13" t="b">
        <f t="shared" si="12"/>
        <v>0</v>
      </c>
      <c r="X55" s="13">
        <f t="shared" si="13"/>
        <v>3600</v>
      </c>
      <c r="Y55" s="7">
        <f t="shared" si="14"/>
        <v>0</v>
      </c>
      <c r="Z55" s="7">
        <f t="shared" si="15"/>
        <v>0.0003091463145</v>
      </c>
      <c r="AA55" s="13" t="b">
        <f t="shared" si="16"/>
        <v>1</v>
      </c>
      <c r="AB55" s="13">
        <f t="shared" si="17"/>
        <v>139.82</v>
      </c>
    </row>
    <row r="56">
      <c r="A56" s="1" t="s">
        <v>61</v>
      </c>
      <c r="B56" s="12">
        <v>1954.0</v>
      </c>
      <c r="C56" s="12">
        <v>3235.0</v>
      </c>
      <c r="D56" s="7">
        <f t="shared" si="1"/>
        <v>0.6555783009</v>
      </c>
      <c r="E56" s="9">
        <v>3600.0</v>
      </c>
      <c r="F56" s="9">
        <v>2224.0</v>
      </c>
      <c r="G56" s="9">
        <v>2882.0</v>
      </c>
      <c r="H56" s="7">
        <f t="shared" si="2"/>
        <v>0.2958633094</v>
      </c>
      <c r="I56" s="9">
        <v>3600.0</v>
      </c>
      <c r="J56" s="9">
        <v>2223.0</v>
      </c>
      <c r="K56" s="9">
        <v>2215.7</v>
      </c>
      <c r="L56" s="9">
        <v>72.98</v>
      </c>
      <c r="M56" s="13">
        <f t="shared" si="3"/>
        <v>2224</v>
      </c>
      <c r="N56" s="13">
        <f t="shared" si="4"/>
        <v>2882</v>
      </c>
      <c r="O56" s="7">
        <f t="shared" si="5"/>
        <v>0.2958633094</v>
      </c>
      <c r="Q56" s="7">
        <f t="shared" si="6"/>
        <v>0.6555783009</v>
      </c>
      <c r="R56" s="7">
        <f t="shared" si="7"/>
        <v>0.1381780962</v>
      </c>
      <c r="S56" s="13" t="b">
        <f t="shared" si="8"/>
        <v>0</v>
      </c>
      <c r="T56" s="13">
        <f t="shared" si="9"/>
        <v>3600</v>
      </c>
      <c r="U56" s="7">
        <f t="shared" si="10"/>
        <v>0.2958633094</v>
      </c>
      <c r="V56" s="7">
        <f t="shared" si="11"/>
        <v>0</v>
      </c>
      <c r="W56" s="13" t="b">
        <f t="shared" si="12"/>
        <v>1</v>
      </c>
      <c r="X56" s="13">
        <f t="shared" si="13"/>
        <v>3600</v>
      </c>
      <c r="Y56" s="7">
        <f t="shared" si="14"/>
        <v>0.0004498425551</v>
      </c>
      <c r="Z56" s="7">
        <f t="shared" si="15"/>
        <v>0.003745994494</v>
      </c>
      <c r="AA56" s="13" t="b">
        <f t="shared" si="16"/>
        <v>0</v>
      </c>
      <c r="AB56" s="13">
        <f t="shared" si="17"/>
        <v>72.98</v>
      </c>
    </row>
    <row r="57">
      <c r="A57" s="1" t="s">
        <v>62</v>
      </c>
      <c r="B57" s="12">
        <v>3500.0</v>
      </c>
      <c r="C57" s="12">
        <v>3573.0</v>
      </c>
      <c r="D57" s="7">
        <f t="shared" si="1"/>
        <v>0.02085714286</v>
      </c>
      <c r="E57" s="9">
        <v>3600.0</v>
      </c>
      <c r="F57" s="9">
        <v>3568.0</v>
      </c>
      <c r="G57" s="9">
        <v>3568.0</v>
      </c>
      <c r="H57" s="7">
        <f t="shared" si="2"/>
        <v>0</v>
      </c>
      <c r="I57" s="9">
        <v>1034.3</v>
      </c>
      <c r="J57" s="9">
        <v>3568.0</v>
      </c>
      <c r="K57" s="9">
        <v>3568.0</v>
      </c>
      <c r="L57" s="9">
        <v>266.92</v>
      </c>
      <c r="M57" s="13">
        <f t="shared" si="3"/>
        <v>3568</v>
      </c>
      <c r="N57" s="13">
        <f t="shared" si="4"/>
        <v>3568</v>
      </c>
      <c r="O57" s="7">
        <f t="shared" si="5"/>
        <v>0</v>
      </c>
      <c r="Q57" s="7">
        <f t="shared" si="6"/>
        <v>0.02085714286</v>
      </c>
      <c r="R57" s="7">
        <f t="shared" si="7"/>
        <v>0.01942857143</v>
      </c>
      <c r="S57" s="13" t="b">
        <f t="shared" si="8"/>
        <v>0</v>
      </c>
      <c r="T57" s="13">
        <f t="shared" si="9"/>
        <v>3600</v>
      </c>
      <c r="U57" s="7">
        <f t="shared" si="10"/>
        <v>0</v>
      </c>
      <c r="V57" s="7">
        <f t="shared" si="11"/>
        <v>0</v>
      </c>
      <c r="W57" s="13" t="b">
        <f t="shared" si="12"/>
        <v>1</v>
      </c>
      <c r="X57" s="13">
        <f t="shared" si="13"/>
        <v>1034.3</v>
      </c>
      <c r="Y57" s="7">
        <f t="shared" si="14"/>
        <v>0</v>
      </c>
      <c r="Z57" s="7">
        <f t="shared" si="15"/>
        <v>0</v>
      </c>
      <c r="AA57" s="13" t="b">
        <f t="shared" si="16"/>
        <v>1</v>
      </c>
      <c r="AB57" s="13">
        <f t="shared" si="17"/>
        <v>266.92</v>
      </c>
    </row>
    <row r="58">
      <c r="A58" s="1" t="s">
        <v>63</v>
      </c>
      <c r="B58" s="12">
        <v>3014.0</v>
      </c>
      <c r="C58" s="12">
        <v>3638.0</v>
      </c>
      <c r="D58" s="7">
        <f t="shared" si="1"/>
        <v>0.2070338421</v>
      </c>
      <c r="E58" s="9">
        <v>3600.0</v>
      </c>
      <c r="F58" s="9">
        <v>3016.0</v>
      </c>
      <c r="G58" s="9">
        <v>3482.0</v>
      </c>
      <c r="H58" s="7">
        <f t="shared" si="2"/>
        <v>0.1545092838</v>
      </c>
      <c r="I58" s="9">
        <v>3600.0</v>
      </c>
      <c r="J58" s="9">
        <v>3107.0</v>
      </c>
      <c r="K58" s="9">
        <v>3105.0</v>
      </c>
      <c r="L58" s="9">
        <v>184.15</v>
      </c>
      <c r="M58" s="13">
        <f t="shared" si="3"/>
        <v>3107</v>
      </c>
      <c r="N58" s="13">
        <f t="shared" si="4"/>
        <v>3482</v>
      </c>
      <c r="O58" s="7">
        <f t="shared" si="5"/>
        <v>0.1206952044</v>
      </c>
      <c r="Q58" s="7">
        <f t="shared" si="6"/>
        <v>0.2070338421</v>
      </c>
      <c r="R58" s="7">
        <f t="shared" si="7"/>
        <v>0.03085600531</v>
      </c>
      <c r="S58" s="13" t="b">
        <f t="shared" si="8"/>
        <v>0</v>
      </c>
      <c r="T58" s="13">
        <f t="shared" si="9"/>
        <v>3600</v>
      </c>
      <c r="U58" s="7">
        <f t="shared" si="10"/>
        <v>0.1545092838</v>
      </c>
      <c r="V58" s="7">
        <f t="shared" si="11"/>
        <v>0.03017241379</v>
      </c>
      <c r="W58" s="13" t="b">
        <f t="shared" si="12"/>
        <v>0</v>
      </c>
      <c r="X58" s="13">
        <f t="shared" si="13"/>
        <v>3600</v>
      </c>
      <c r="Y58" s="7">
        <f t="shared" si="14"/>
        <v>0</v>
      </c>
      <c r="Z58" s="7">
        <f t="shared" si="15"/>
        <v>0.0006441223833</v>
      </c>
      <c r="AA58" s="13" t="b">
        <f t="shared" si="16"/>
        <v>1</v>
      </c>
      <c r="AB58" s="13">
        <f t="shared" si="17"/>
        <v>184.15</v>
      </c>
    </row>
    <row r="59">
      <c r="A59" s="1" t="s">
        <v>64</v>
      </c>
      <c r="B59" s="12">
        <v>1988.0</v>
      </c>
      <c r="C59" s="12">
        <v>3478.0</v>
      </c>
      <c r="D59" s="7">
        <f t="shared" si="1"/>
        <v>0.7494969819</v>
      </c>
      <c r="E59" s="9">
        <v>3600.0</v>
      </c>
      <c r="F59" s="9">
        <v>1988.0</v>
      </c>
      <c r="G59" s="9">
        <v>1988.0</v>
      </c>
      <c r="H59" s="7">
        <f t="shared" si="2"/>
        <v>0</v>
      </c>
      <c r="I59" s="9">
        <v>873.89</v>
      </c>
      <c r="J59" s="9">
        <v>1988.0</v>
      </c>
      <c r="K59" s="9">
        <v>1988.0</v>
      </c>
      <c r="L59" s="9">
        <v>20.87</v>
      </c>
      <c r="M59" s="13">
        <f t="shared" si="3"/>
        <v>1988</v>
      </c>
      <c r="N59" s="13">
        <f t="shared" si="4"/>
        <v>1988</v>
      </c>
      <c r="O59" s="7">
        <f t="shared" si="5"/>
        <v>0</v>
      </c>
      <c r="Q59" s="7">
        <f t="shared" si="6"/>
        <v>0.7494969819</v>
      </c>
      <c r="R59" s="7">
        <f t="shared" si="7"/>
        <v>0</v>
      </c>
      <c r="S59" s="13" t="b">
        <f t="shared" si="8"/>
        <v>1</v>
      </c>
      <c r="T59" s="13">
        <f t="shared" si="9"/>
        <v>3600</v>
      </c>
      <c r="U59" s="7">
        <f t="shared" si="10"/>
        <v>0</v>
      </c>
      <c r="V59" s="7">
        <f t="shared" si="11"/>
        <v>0</v>
      </c>
      <c r="W59" s="13" t="b">
        <f t="shared" si="12"/>
        <v>1</v>
      </c>
      <c r="X59" s="13">
        <f t="shared" si="13"/>
        <v>873.89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20.87</v>
      </c>
    </row>
    <row r="60">
      <c r="A60" s="1" t="s">
        <v>65</v>
      </c>
      <c r="B60" s="12">
        <v>2030.0</v>
      </c>
      <c r="C60" s="12">
        <v>2961.0</v>
      </c>
      <c r="D60" s="7">
        <f t="shared" si="1"/>
        <v>0.4586206897</v>
      </c>
      <c r="E60" s="9">
        <v>3600.0</v>
      </c>
      <c r="F60" s="9">
        <v>2272.0</v>
      </c>
      <c r="G60" s="9">
        <v>2565.0</v>
      </c>
      <c r="H60" s="7">
        <f t="shared" si="2"/>
        <v>0.1289612676</v>
      </c>
      <c r="I60" s="9">
        <v>3600.0</v>
      </c>
      <c r="J60" s="9">
        <v>2272.0</v>
      </c>
      <c r="K60" s="9">
        <v>2272.0</v>
      </c>
      <c r="L60" s="9">
        <v>114.38</v>
      </c>
      <c r="M60" s="13">
        <f t="shared" si="3"/>
        <v>2272</v>
      </c>
      <c r="N60" s="13">
        <f t="shared" si="4"/>
        <v>2565</v>
      </c>
      <c r="O60" s="7">
        <f t="shared" si="5"/>
        <v>0.1289612676</v>
      </c>
      <c r="Q60" s="7">
        <f t="shared" si="6"/>
        <v>0.4586206897</v>
      </c>
      <c r="R60" s="7">
        <f t="shared" si="7"/>
        <v>0.1192118227</v>
      </c>
      <c r="S60" s="13" t="b">
        <f t="shared" si="8"/>
        <v>0</v>
      </c>
      <c r="T60" s="13">
        <f t="shared" si="9"/>
        <v>3600</v>
      </c>
      <c r="U60" s="7">
        <f t="shared" si="10"/>
        <v>0.1289612676</v>
      </c>
      <c r="V60" s="7">
        <f t="shared" si="11"/>
        <v>0</v>
      </c>
      <c r="W60" s="13" t="b">
        <f t="shared" si="12"/>
        <v>1</v>
      </c>
      <c r="X60" s="13">
        <f t="shared" si="13"/>
        <v>3600</v>
      </c>
      <c r="Y60" s="7">
        <f t="shared" si="14"/>
        <v>0</v>
      </c>
      <c r="Z60" s="7">
        <f t="shared" si="15"/>
        <v>0</v>
      </c>
      <c r="AA60" s="13" t="b">
        <f t="shared" si="16"/>
        <v>1</v>
      </c>
      <c r="AB60" s="13">
        <f t="shared" si="17"/>
        <v>114.38</v>
      </c>
    </row>
    <row r="61">
      <c r="A61" s="1" t="s">
        <v>66</v>
      </c>
      <c r="B61" s="12">
        <v>2719.0</v>
      </c>
      <c r="C61" s="12">
        <v>6265.0</v>
      </c>
      <c r="D61" s="7">
        <f t="shared" si="1"/>
        <v>1.30415594</v>
      </c>
      <c r="E61" s="9">
        <v>3600.0</v>
      </c>
      <c r="F61" s="9">
        <v>3883.0</v>
      </c>
      <c r="G61" s="9">
        <v>5017.0</v>
      </c>
      <c r="H61" s="7">
        <f t="shared" si="2"/>
        <v>0.2920422354</v>
      </c>
      <c r="I61" s="9">
        <v>3600.0</v>
      </c>
      <c r="J61" s="9">
        <v>3883.0</v>
      </c>
      <c r="K61" s="9">
        <v>3883.0</v>
      </c>
      <c r="L61" s="9">
        <v>37.18</v>
      </c>
      <c r="M61" s="13">
        <f t="shared" si="3"/>
        <v>3883</v>
      </c>
      <c r="N61" s="13">
        <f t="shared" si="4"/>
        <v>5017</v>
      </c>
      <c r="O61" s="7">
        <f t="shared" si="5"/>
        <v>0.2920422354</v>
      </c>
      <c r="Q61" s="7">
        <f t="shared" si="6"/>
        <v>1.30415594</v>
      </c>
      <c r="R61" s="7">
        <f t="shared" si="7"/>
        <v>0.4280985656</v>
      </c>
      <c r="S61" s="13" t="b">
        <f t="shared" si="8"/>
        <v>0</v>
      </c>
      <c r="T61" s="13">
        <f t="shared" si="9"/>
        <v>3600</v>
      </c>
      <c r="U61" s="7">
        <f t="shared" si="10"/>
        <v>0.2920422354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</v>
      </c>
      <c r="AA61" s="13" t="b">
        <f t="shared" si="16"/>
        <v>1</v>
      </c>
      <c r="AB61" s="13">
        <f t="shared" si="17"/>
        <v>37.18</v>
      </c>
    </row>
    <row r="62">
      <c r="A62" s="1" t="s">
        <v>67</v>
      </c>
      <c r="B62" s="12">
        <v>1829.0</v>
      </c>
      <c r="C62" s="12">
        <v>3059.0</v>
      </c>
      <c r="D62" s="7">
        <f t="shared" si="1"/>
        <v>0.6724986331</v>
      </c>
      <c r="E62" s="9">
        <v>3600.0</v>
      </c>
      <c r="F62" s="9">
        <v>2272.0</v>
      </c>
      <c r="G62" s="9">
        <v>2867.0</v>
      </c>
      <c r="H62" s="7">
        <f t="shared" si="2"/>
        <v>0.2618838028</v>
      </c>
      <c r="I62" s="9">
        <v>3600.0</v>
      </c>
      <c r="J62" s="9">
        <v>2267.0</v>
      </c>
      <c r="K62" s="9">
        <v>2253.7</v>
      </c>
      <c r="L62" s="9">
        <v>157.29</v>
      </c>
      <c r="M62" s="13">
        <f t="shared" si="3"/>
        <v>2272</v>
      </c>
      <c r="N62" s="13">
        <f t="shared" si="4"/>
        <v>2867</v>
      </c>
      <c r="O62" s="7">
        <f t="shared" si="5"/>
        <v>0.2618838028</v>
      </c>
      <c r="Q62" s="7">
        <f t="shared" si="6"/>
        <v>0.6724986331</v>
      </c>
      <c r="R62" s="7">
        <f t="shared" si="7"/>
        <v>0.2422088573</v>
      </c>
      <c r="S62" s="13" t="b">
        <f t="shared" si="8"/>
        <v>0</v>
      </c>
      <c r="T62" s="13">
        <f t="shared" si="9"/>
        <v>3600</v>
      </c>
      <c r="U62" s="7">
        <f t="shared" si="10"/>
        <v>0.2618838028</v>
      </c>
      <c r="V62" s="7">
        <f t="shared" si="11"/>
        <v>0</v>
      </c>
      <c r="W62" s="13" t="b">
        <f t="shared" si="12"/>
        <v>1</v>
      </c>
      <c r="X62" s="13">
        <f t="shared" si="13"/>
        <v>3600</v>
      </c>
      <c r="Y62" s="7">
        <f t="shared" si="14"/>
        <v>0.002205558006</v>
      </c>
      <c r="Z62" s="7">
        <f t="shared" si="15"/>
        <v>0.008119980477</v>
      </c>
      <c r="AA62" s="13" t="b">
        <f t="shared" si="16"/>
        <v>0</v>
      </c>
      <c r="AB62" s="13">
        <f t="shared" si="17"/>
        <v>157.29</v>
      </c>
      <c r="AD62" s="7">
        <f t="shared" ref="AD62:AE62" si="21">AVERAGE(Q33:Q62)</f>
        <v>0.2478654791</v>
      </c>
      <c r="AE62" s="7">
        <f t="shared" si="21"/>
        <v>0.03925858147</v>
      </c>
      <c r="AF62" s="13">
        <f>COUNTIF(S33:S62, "TRUE")</f>
        <v>12</v>
      </c>
      <c r="AG62" s="13">
        <f>COUNTIF(Q33:Q62,"=0")</f>
        <v>4</v>
      </c>
      <c r="AH62" s="13">
        <f t="shared" ref="AH62:AJ62" si="22">AVERAGE(T33:T62)</f>
        <v>3215.112333</v>
      </c>
      <c r="AI62" s="7">
        <f t="shared" si="22"/>
        <v>0.08585470217</v>
      </c>
      <c r="AJ62" s="7">
        <f t="shared" si="22"/>
        <v>0.001056263611</v>
      </c>
      <c r="AK62" s="13">
        <f>COUNTIF(W33:W62, "TRUE")</f>
        <v>27</v>
      </c>
      <c r="AL62" s="13">
        <f>COUNTIF(U33:U62,"=0")</f>
        <v>15</v>
      </c>
      <c r="AM62" s="13">
        <f t="shared" ref="AM62:AO62" si="23">AVERAGE(X33:X62)</f>
        <v>2165.001667</v>
      </c>
      <c r="AN62" s="7">
        <f t="shared" si="23"/>
        <v>0.0001169184081</v>
      </c>
      <c r="AO62" s="7">
        <f t="shared" si="23"/>
        <v>0.0008918782699</v>
      </c>
      <c r="AP62" s="13">
        <f>COUNTIF(AA33:AA62, "TRUE")</f>
        <v>27</v>
      </c>
      <c r="AQ62" s="13">
        <f>AVERAGE(AB33:AB62)</f>
        <v>68.035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343.0</v>
      </c>
      <c r="C3" s="12">
        <v>343.0</v>
      </c>
      <c r="D3" s="7">
        <f t="shared" ref="D3:D62" si="1">(C3-B3)/B3</f>
        <v>0</v>
      </c>
      <c r="E3" s="9">
        <v>0.32</v>
      </c>
      <c r="F3" s="9">
        <v>343.0</v>
      </c>
      <c r="G3" s="9">
        <v>343.0</v>
      </c>
      <c r="H3" s="7">
        <f t="shared" ref="H3:H62" si="2">(G3-F3)/F3</f>
        <v>0</v>
      </c>
      <c r="I3" s="9">
        <v>0.04</v>
      </c>
      <c r="J3" s="9">
        <v>343.0</v>
      </c>
      <c r="K3" s="9">
        <v>343.0</v>
      </c>
      <c r="L3" s="9">
        <v>4.2</v>
      </c>
      <c r="M3" s="13">
        <f t="shared" ref="M3:M62" si="3">MAX(B3,F3,J3)</f>
        <v>343</v>
      </c>
      <c r="N3" s="13">
        <f t="shared" ref="N3:N62" si="4">MIN(C3,G3)</f>
        <v>343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0.32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0.04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4.2</v>
      </c>
    </row>
    <row r="4">
      <c r="A4" s="1" t="s">
        <v>9</v>
      </c>
      <c r="B4" s="12">
        <v>276.0</v>
      </c>
      <c r="C4" s="12">
        <v>276.0</v>
      </c>
      <c r="D4" s="7">
        <f t="shared" si="1"/>
        <v>0</v>
      </c>
      <c r="E4" s="9">
        <v>0.28</v>
      </c>
      <c r="F4" s="9">
        <v>276.0</v>
      </c>
      <c r="G4" s="9">
        <v>276.0</v>
      </c>
      <c r="H4" s="7">
        <f t="shared" si="2"/>
        <v>0</v>
      </c>
      <c r="I4" s="9">
        <v>0.1</v>
      </c>
      <c r="J4" s="9">
        <v>276.0</v>
      </c>
      <c r="K4" s="9">
        <v>276.0</v>
      </c>
      <c r="L4" s="9">
        <v>2.85</v>
      </c>
      <c r="M4" s="13">
        <f t="shared" si="3"/>
        <v>276</v>
      </c>
      <c r="N4" s="13">
        <f t="shared" si="4"/>
        <v>276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0.28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0.1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2.85</v>
      </c>
    </row>
    <row r="5">
      <c r="A5" s="1" t="s">
        <v>10</v>
      </c>
      <c r="B5" s="12">
        <v>567.0</v>
      </c>
      <c r="C5" s="12">
        <v>567.0</v>
      </c>
      <c r="D5" s="7">
        <f t="shared" si="1"/>
        <v>0</v>
      </c>
      <c r="E5" s="9">
        <v>38.12</v>
      </c>
      <c r="F5" s="9">
        <v>567.0</v>
      </c>
      <c r="G5" s="9">
        <v>567.0</v>
      </c>
      <c r="H5" s="7">
        <f t="shared" si="2"/>
        <v>0</v>
      </c>
      <c r="I5" s="9">
        <v>0.07</v>
      </c>
      <c r="J5" s="9">
        <v>567.0</v>
      </c>
      <c r="K5" s="9">
        <v>564.5</v>
      </c>
      <c r="L5" s="9">
        <v>17.08</v>
      </c>
      <c r="M5" s="13">
        <f t="shared" si="3"/>
        <v>567</v>
      </c>
      <c r="N5" s="13">
        <f t="shared" si="4"/>
        <v>567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38.12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0.07</v>
      </c>
      <c r="Y5" s="7">
        <f t="shared" si="14"/>
        <v>0</v>
      </c>
      <c r="Z5" s="7">
        <f t="shared" si="15"/>
        <v>0.004428697963</v>
      </c>
      <c r="AA5" s="13" t="b">
        <f t="shared" si="16"/>
        <v>1</v>
      </c>
      <c r="AB5" s="13">
        <f t="shared" si="17"/>
        <v>17.08</v>
      </c>
    </row>
    <row r="6">
      <c r="A6" s="1" t="s">
        <v>11</v>
      </c>
      <c r="B6" s="12">
        <v>195.0</v>
      </c>
      <c r="C6" s="12">
        <v>195.0</v>
      </c>
      <c r="D6" s="7">
        <f t="shared" si="1"/>
        <v>0</v>
      </c>
      <c r="E6" s="9">
        <v>0.8</v>
      </c>
      <c r="F6" s="9">
        <v>195.0</v>
      </c>
      <c r="G6" s="9">
        <v>195.0</v>
      </c>
      <c r="H6" s="7">
        <f t="shared" si="2"/>
        <v>0</v>
      </c>
      <c r="I6" s="9">
        <v>0.22</v>
      </c>
      <c r="J6" s="9">
        <v>195.0</v>
      </c>
      <c r="K6" s="9">
        <v>195.0</v>
      </c>
      <c r="L6" s="9">
        <v>4.5</v>
      </c>
      <c r="M6" s="13">
        <f t="shared" si="3"/>
        <v>195</v>
      </c>
      <c r="N6" s="13">
        <f t="shared" si="4"/>
        <v>195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0.8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0.22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4.5</v>
      </c>
    </row>
    <row r="7">
      <c r="A7" s="1" t="s">
        <v>12</v>
      </c>
      <c r="B7" s="12">
        <v>191.0</v>
      </c>
      <c r="C7" s="12">
        <v>191.0</v>
      </c>
      <c r="D7" s="7">
        <f t="shared" si="1"/>
        <v>0</v>
      </c>
      <c r="E7" s="9">
        <v>7.41</v>
      </c>
      <c r="F7" s="9">
        <v>191.0</v>
      </c>
      <c r="G7" s="9">
        <v>191.0</v>
      </c>
      <c r="H7" s="7">
        <f t="shared" si="2"/>
        <v>0</v>
      </c>
      <c r="I7" s="9">
        <v>0.14</v>
      </c>
      <c r="J7" s="9">
        <v>191.0</v>
      </c>
      <c r="K7" s="9">
        <v>191.0</v>
      </c>
      <c r="L7" s="9">
        <v>0.23</v>
      </c>
      <c r="M7" s="13">
        <f t="shared" si="3"/>
        <v>191</v>
      </c>
      <c r="N7" s="13">
        <f t="shared" si="4"/>
        <v>191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7.41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0.14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0.23</v>
      </c>
    </row>
    <row r="8">
      <c r="A8" s="1" t="s">
        <v>13</v>
      </c>
      <c r="B8" s="12">
        <v>240.0</v>
      </c>
      <c r="C8" s="12">
        <v>240.0</v>
      </c>
      <c r="D8" s="7">
        <f t="shared" si="1"/>
        <v>0</v>
      </c>
      <c r="E8" s="9">
        <v>2.59</v>
      </c>
      <c r="F8" s="9">
        <v>240.0</v>
      </c>
      <c r="G8" s="9">
        <v>240.0</v>
      </c>
      <c r="H8" s="7">
        <f t="shared" si="2"/>
        <v>0</v>
      </c>
      <c r="I8" s="9">
        <v>0.62</v>
      </c>
      <c r="J8" s="9">
        <v>240.0</v>
      </c>
      <c r="K8" s="9">
        <v>240.0</v>
      </c>
      <c r="L8" s="9">
        <v>33.65</v>
      </c>
      <c r="M8" s="13">
        <f t="shared" si="3"/>
        <v>240</v>
      </c>
      <c r="N8" s="13">
        <f t="shared" si="4"/>
        <v>240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2.59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0.62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33.65</v>
      </c>
    </row>
    <row r="9">
      <c r="A9" s="1" t="s">
        <v>14</v>
      </c>
      <c r="B9" s="12">
        <v>140.0</v>
      </c>
      <c r="C9" s="12">
        <v>140.0</v>
      </c>
      <c r="D9" s="7">
        <f t="shared" si="1"/>
        <v>0</v>
      </c>
      <c r="E9" s="9">
        <v>0.38</v>
      </c>
      <c r="F9" s="9">
        <v>140.0</v>
      </c>
      <c r="G9" s="9">
        <v>140.0</v>
      </c>
      <c r="H9" s="7">
        <f t="shared" si="2"/>
        <v>0</v>
      </c>
      <c r="I9" s="9">
        <v>0.05</v>
      </c>
      <c r="J9" s="9">
        <v>140.0</v>
      </c>
      <c r="K9" s="9">
        <v>140.0</v>
      </c>
      <c r="L9" s="9">
        <v>0.21</v>
      </c>
      <c r="M9" s="13">
        <f t="shared" si="3"/>
        <v>140</v>
      </c>
      <c r="N9" s="13">
        <f t="shared" si="4"/>
        <v>140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0.38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0.05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0.21</v>
      </c>
    </row>
    <row r="10">
      <c r="A10" s="1" t="s">
        <v>15</v>
      </c>
      <c r="B10" s="12">
        <v>113.0</v>
      </c>
      <c r="C10" s="12">
        <v>113.0</v>
      </c>
      <c r="D10" s="7">
        <f t="shared" si="1"/>
        <v>0</v>
      </c>
      <c r="E10" s="9">
        <v>1.24</v>
      </c>
      <c r="F10" s="9">
        <v>113.0</v>
      </c>
      <c r="G10" s="9">
        <v>113.0</v>
      </c>
      <c r="H10" s="7">
        <f t="shared" si="2"/>
        <v>0</v>
      </c>
      <c r="I10" s="9">
        <v>0.12</v>
      </c>
      <c r="J10" s="9">
        <v>113.0</v>
      </c>
      <c r="K10" s="9">
        <v>113.0</v>
      </c>
      <c r="L10" s="9">
        <v>7.48</v>
      </c>
      <c r="M10" s="13">
        <f t="shared" si="3"/>
        <v>113</v>
      </c>
      <c r="N10" s="13">
        <f t="shared" si="4"/>
        <v>113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1.24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0.12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7.48</v>
      </c>
    </row>
    <row r="11">
      <c r="A11" s="1" t="s">
        <v>16</v>
      </c>
      <c r="B11" s="12">
        <v>299.0</v>
      </c>
      <c r="C11" s="12">
        <v>299.0</v>
      </c>
      <c r="D11" s="7">
        <f t="shared" si="1"/>
        <v>0</v>
      </c>
      <c r="E11" s="9">
        <v>13.8</v>
      </c>
      <c r="F11" s="9">
        <v>299.0</v>
      </c>
      <c r="G11" s="9">
        <v>299.0</v>
      </c>
      <c r="H11" s="7">
        <f t="shared" si="2"/>
        <v>0</v>
      </c>
      <c r="I11" s="9">
        <v>0.69</v>
      </c>
      <c r="J11" s="9">
        <v>299.0</v>
      </c>
      <c r="K11" s="9">
        <v>299.0</v>
      </c>
      <c r="L11" s="9">
        <v>13.09</v>
      </c>
      <c r="M11" s="13">
        <f t="shared" si="3"/>
        <v>299</v>
      </c>
      <c r="N11" s="13">
        <f t="shared" si="4"/>
        <v>299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13.8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0.69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13.09</v>
      </c>
    </row>
    <row r="12">
      <c r="A12" s="1" t="s">
        <v>17</v>
      </c>
      <c r="B12" s="12">
        <v>440.0</v>
      </c>
      <c r="C12" s="12">
        <v>440.0</v>
      </c>
      <c r="D12" s="7">
        <f t="shared" si="1"/>
        <v>0</v>
      </c>
      <c r="E12" s="9">
        <v>2.4</v>
      </c>
      <c r="F12" s="9">
        <v>440.0</v>
      </c>
      <c r="G12" s="9">
        <v>440.0</v>
      </c>
      <c r="H12" s="7">
        <f t="shared" si="2"/>
        <v>0</v>
      </c>
      <c r="I12" s="9">
        <v>0.32</v>
      </c>
      <c r="J12" s="9">
        <v>440.0</v>
      </c>
      <c r="K12" s="9">
        <v>440.0</v>
      </c>
      <c r="L12" s="9">
        <v>2.69</v>
      </c>
      <c r="M12" s="13">
        <f t="shared" si="3"/>
        <v>440</v>
      </c>
      <c r="N12" s="13">
        <f t="shared" si="4"/>
        <v>440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2.4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0.32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2.69</v>
      </c>
    </row>
    <row r="13">
      <c r="A13" s="1" t="s">
        <v>18</v>
      </c>
      <c r="B13" s="12">
        <v>601.0</v>
      </c>
      <c r="C13" s="12">
        <v>601.0</v>
      </c>
      <c r="D13" s="7">
        <f t="shared" si="1"/>
        <v>0</v>
      </c>
      <c r="E13" s="9">
        <v>0.82</v>
      </c>
      <c r="F13" s="9">
        <v>601.0</v>
      </c>
      <c r="G13" s="9">
        <v>601.0</v>
      </c>
      <c r="H13" s="7">
        <f t="shared" si="2"/>
        <v>0</v>
      </c>
      <c r="I13" s="9">
        <v>0.4</v>
      </c>
      <c r="J13" s="9">
        <v>601.0</v>
      </c>
      <c r="K13" s="9">
        <v>601.0</v>
      </c>
      <c r="L13" s="9">
        <v>0.9</v>
      </c>
      <c r="M13" s="13">
        <f t="shared" si="3"/>
        <v>601</v>
      </c>
      <c r="N13" s="13">
        <f t="shared" si="4"/>
        <v>601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0.82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0.4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0.9</v>
      </c>
    </row>
    <row r="14">
      <c r="A14" s="1" t="s">
        <v>19</v>
      </c>
      <c r="B14" s="12">
        <v>379.0</v>
      </c>
      <c r="C14" s="12">
        <v>379.0</v>
      </c>
      <c r="D14" s="7">
        <f t="shared" si="1"/>
        <v>0</v>
      </c>
      <c r="E14" s="9">
        <v>3.6</v>
      </c>
      <c r="F14" s="9">
        <v>379.0</v>
      </c>
      <c r="G14" s="9">
        <v>379.0</v>
      </c>
      <c r="H14" s="7">
        <f t="shared" si="2"/>
        <v>0</v>
      </c>
      <c r="I14" s="9">
        <v>0.39</v>
      </c>
      <c r="J14" s="9">
        <v>379.0</v>
      </c>
      <c r="K14" s="9">
        <v>379.0</v>
      </c>
      <c r="L14" s="9">
        <v>2.55</v>
      </c>
      <c r="M14" s="13">
        <f t="shared" si="3"/>
        <v>379</v>
      </c>
      <c r="N14" s="13">
        <f t="shared" si="4"/>
        <v>379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3.6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0.39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2.55</v>
      </c>
    </row>
    <row r="15">
      <c r="A15" s="1" t="s">
        <v>20</v>
      </c>
      <c r="B15" s="12">
        <v>322.0</v>
      </c>
      <c r="C15" s="12">
        <v>322.0</v>
      </c>
      <c r="D15" s="7">
        <f t="shared" si="1"/>
        <v>0</v>
      </c>
      <c r="E15" s="9">
        <v>1.6</v>
      </c>
      <c r="F15" s="9">
        <v>322.0</v>
      </c>
      <c r="G15" s="9">
        <v>322.0</v>
      </c>
      <c r="H15" s="7">
        <f t="shared" si="2"/>
        <v>0</v>
      </c>
      <c r="I15" s="9">
        <v>0.68</v>
      </c>
      <c r="J15" s="9">
        <v>322.0</v>
      </c>
      <c r="K15" s="9">
        <v>322.0</v>
      </c>
      <c r="L15" s="9">
        <v>0.95</v>
      </c>
      <c r="M15" s="13">
        <f t="shared" si="3"/>
        <v>322</v>
      </c>
      <c r="N15" s="13">
        <f t="shared" si="4"/>
        <v>322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1.6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0.68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0.95</v>
      </c>
    </row>
    <row r="16">
      <c r="A16" s="1" t="s">
        <v>21</v>
      </c>
      <c r="B16" s="12">
        <v>209.0</v>
      </c>
      <c r="C16" s="12">
        <v>209.0</v>
      </c>
      <c r="D16" s="7">
        <f t="shared" si="1"/>
        <v>0</v>
      </c>
      <c r="E16" s="9">
        <v>8.01</v>
      </c>
      <c r="F16" s="9">
        <v>209.0</v>
      </c>
      <c r="G16" s="9">
        <v>209.0</v>
      </c>
      <c r="H16" s="7">
        <f t="shared" si="2"/>
        <v>0</v>
      </c>
      <c r="I16" s="9">
        <v>2.79</v>
      </c>
      <c r="J16" s="9">
        <v>209.0</v>
      </c>
      <c r="K16" s="9">
        <v>209.0</v>
      </c>
      <c r="L16" s="9">
        <v>4.87</v>
      </c>
      <c r="M16" s="13">
        <f t="shared" si="3"/>
        <v>209</v>
      </c>
      <c r="N16" s="13">
        <f t="shared" si="4"/>
        <v>209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8.01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2.79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4.87</v>
      </c>
    </row>
    <row r="17">
      <c r="A17" s="1" t="s">
        <v>22</v>
      </c>
      <c r="B17" s="12">
        <v>280.0</v>
      </c>
      <c r="C17" s="12">
        <v>280.0</v>
      </c>
      <c r="D17" s="7">
        <f t="shared" si="1"/>
        <v>0</v>
      </c>
      <c r="E17" s="9">
        <v>1.44</v>
      </c>
      <c r="F17" s="9">
        <v>280.0</v>
      </c>
      <c r="G17" s="9">
        <v>280.0</v>
      </c>
      <c r="H17" s="7">
        <f t="shared" si="2"/>
        <v>0</v>
      </c>
      <c r="I17" s="9">
        <v>0.48</v>
      </c>
      <c r="J17" s="9">
        <v>280.0</v>
      </c>
      <c r="K17" s="9">
        <v>280.0</v>
      </c>
      <c r="L17" s="9">
        <v>0.3</v>
      </c>
      <c r="M17" s="13">
        <f t="shared" si="3"/>
        <v>280</v>
      </c>
      <c r="N17" s="13">
        <f t="shared" si="4"/>
        <v>280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1.44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0.48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0.3</v>
      </c>
    </row>
    <row r="18">
      <c r="A18" s="1" t="s">
        <v>23</v>
      </c>
      <c r="B18" s="12">
        <v>539.0</v>
      </c>
      <c r="C18" s="12">
        <v>539.0</v>
      </c>
      <c r="D18" s="7">
        <f t="shared" si="1"/>
        <v>0</v>
      </c>
      <c r="E18" s="9">
        <v>11.1</v>
      </c>
      <c r="F18" s="9">
        <v>539.0</v>
      </c>
      <c r="G18" s="9">
        <v>539.0</v>
      </c>
      <c r="H18" s="7">
        <f t="shared" si="2"/>
        <v>0</v>
      </c>
      <c r="I18" s="9">
        <v>1.04</v>
      </c>
      <c r="J18" s="9">
        <v>539.0</v>
      </c>
      <c r="K18" s="9">
        <v>539.0</v>
      </c>
      <c r="L18" s="9">
        <v>1.51</v>
      </c>
      <c r="M18" s="13">
        <f t="shared" si="3"/>
        <v>539</v>
      </c>
      <c r="N18" s="13">
        <f t="shared" si="4"/>
        <v>539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11.1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1.04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1.51</v>
      </c>
    </row>
    <row r="19">
      <c r="A19" s="1" t="s">
        <v>24</v>
      </c>
      <c r="B19" s="12">
        <v>643.0</v>
      </c>
      <c r="C19" s="12">
        <v>643.0</v>
      </c>
      <c r="D19" s="7">
        <f t="shared" si="1"/>
        <v>0</v>
      </c>
      <c r="E19" s="9">
        <v>3.83</v>
      </c>
      <c r="F19" s="9">
        <v>643.0</v>
      </c>
      <c r="G19" s="9">
        <v>643.0</v>
      </c>
      <c r="H19" s="7">
        <f t="shared" si="2"/>
        <v>0</v>
      </c>
      <c r="I19" s="9">
        <v>1.01</v>
      </c>
      <c r="J19" s="9">
        <v>643.0</v>
      </c>
      <c r="K19" s="9">
        <v>643.0</v>
      </c>
      <c r="L19" s="9">
        <v>6.42</v>
      </c>
      <c r="M19" s="13">
        <f t="shared" si="3"/>
        <v>643</v>
      </c>
      <c r="N19" s="13">
        <f t="shared" si="4"/>
        <v>643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3.83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1.01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6.42</v>
      </c>
    </row>
    <row r="20">
      <c r="A20" s="1" t="s">
        <v>25</v>
      </c>
      <c r="B20" s="12">
        <v>639.0</v>
      </c>
      <c r="C20" s="12">
        <v>639.0</v>
      </c>
      <c r="D20" s="7">
        <f t="shared" si="1"/>
        <v>0</v>
      </c>
      <c r="E20" s="9">
        <v>453.06</v>
      </c>
      <c r="F20" s="9">
        <v>639.0</v>
      </c>
      <c r="G20" s="9">
        <v>639.0</v>
      </c>
      <c r="H20" s="7">
        <f t="shared" si="2"/>
        <v>0</v>
      </c>
      <c r="I20" s="9">
        <v>1.06</v>
      </c>
      <c r="J20" s="9">
        <v>639.0</v>
      </c>
      <c r="K20" s="9">
        <v>639.0</v>
      </c>
      <c r="L20" s="9">
        <v>1.65</v>
      </c>
      <c r="M20" s="13">
        <f t="shared" si="3"/>
        <v>639</v>
      </c>
      <c r="N20" s="13">
        <f t="shared" si="4"/>
        <v>639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453.06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1.06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1.65</v>
      </c>
    </row>
    <row r="21">
      <c r="A21" s="1" t="s">
        <v>26</v>
      </c>
      <c r="B21" s="12">
        <v>369.0</v>
      </c>
      <c r="C21" s="12">
        <v>369.0</v>
      </c>
      <c r="D21" s="7">
        <f t="shared" si="1"/>
        <v>0</v>
      </c>
      <c r="E21" s="9">
        <v>11.35</v>
      </c>
      <c r="F21" s="9">
        <v>369.0</v>
      </c>
      <c r="G21" s="9">
        <v>369.0</v>
      </c>
      <c r="H21" s="7">
        <f t="shared" si="2"/>
        <v>0</v>
      </c>
      <c r="I21" s="9">
        <v>0.91</v>
      </c>
      <c r="J21" s="9">
        <v>369.0</v>
      </c>
      <c r="K21" s="9">
        <v>369.0</v>
      </c>
      <c r="L21" s="9">
        <v>12.08</v>
      </c>
      <c r="M21" s="13">
        <f t="shared" si="3"/>
        <v>369</v>
      </c>
      <c r="N21" s="13">
        <f t="shared" si="4"/>
        <v>369</v>
      </c>
      <c r="O21" s="7">
        <f t="shared" si="5"/>
        <v>0</v>
      </c>
      <c r="Q21" s="7">
        <f t="shared" si="6"/>
        <v>0</v>
      </c>
      <c r="R21" s="7">
        <f t="shared" si="7"/>
        <v>0</v>
      </c>
      <c r="S21" s="13" t="b">
        <f t="shared" si="8"/>
        <v>1</v>
      </c>
      <c r="T21" s="13">
        <f t="shared" si="9"/>
        <v>11.35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0.91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12.08</v>
      </c>
    </row>
    <row r="22">
      <c r="A22" s="1" t="s">
        <v>27</v>
      </c>
      <c r="B22" s="12">
        <v>246.0</v>
      </c>
      <c r="C22" s="12">
        <v>246.0</v>
      </c>
      <c r="D22" s="7">
        <f t="shared" si="1"/>
        <v>0</v>
      </c>
      <c r="E22" s="9">
        <v>18.48</v>
      </c>
      <c r="F22" s="9">
        <v>246.0</v>
      </c>
      <c r="G22" s="9">
        <v>246.0</v>
      </c>
      <c r="H22" s="7">
        <f t="shared" si="2"/>
        <v>0</v>
      </c>
      <c r="I22" s="9">
        <v>3.96</v>
      </c>
      <c r="J22" s="9">
        <v>246.0</v>
      </c>
      <c r="K22" s="9">
        <v>246.0</v>
      </c>
      <c r="L22" s="9">
        <v>24.57</v>
      </c>
      <c r="M22" s="13">
        <f t="shared" si="3"/>
        <v>246</v>
      </c>
      <c r="N22" s="13">
        <f t="shared" si="4"/>
        <v>246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18.48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3.96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24.57</v>
      </c>
    </row>
    <row r="23">
      <c r="A23" s="1" t="s">
        <v>28</v>
      </c>
      <c r="B23" s="12">
        <v>967.0</v>
      </c>
      <c r="C23" s="12">
        <v>967.0</v>
      </c>
      <c r="D23" s="7">
        <f t="shared" si="1"/>
        <v>0</v>
      </c>
      <c r="E23" s="9">
        <v>604.18</v>
      </c>
      <c r="F23" s="9">
        <v>967.0</v>
      </c>
      <c r="G23" s="9">
        <v>967.0</v>
      </c>
      <c r="H23" s="7">
        <f t="shared" si="2"/>
        <v>0</v>
      </c>
      <c r="I23" s="9">
        <v>1.99</v>
      </c>
      <c r="J23" s="9">
        <v>967.0</v>
      </c>
      <c r="K23" s="9">
        <v>967.0</v>
      </c>
      <c r="L23" s="9">
        <v>17.13</v>
      </c>
      <c r="M23" s="13">
        <f t="shared" si="3"/>
        <v>967</v>
      </c>
      <c r="N23" s="13">
        <f t="shared" si="4"/>
        <v>967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604.18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1.99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17.13</v>
      </c>
    </row>
    <row r="24">
      <c r="A24" s="1" t="s">
        <v>29</v>
      </c>
      <c r="B24" s="12">
        <v>742.0</v>
      </c>
      <c r="C24" s="12">
        <v>742.0</v>
      </c>
      <c r="D24" s="7">
        <f t="shared" si="1"/>
        <v>0</v>
      </c>
      <c r="E24" s="9">
        <v>1.55</v>
      </c>
      <c r="F24" s="9">
        <v>742.0</v>
      </c>
      <c r="G24" s="9">
        <v>742.0</v>
      </c>
      <c r="H24" s="7">
        <f t="shared" si="2"/>
        <v>0</v>
      </c>
      <c r="I24" s="9">
        <v>0.51</v>
      </c>
      <c r="J24" s="9">
        <v>742.0</v>
      </c>
      <c r="K24" s="9">
        <v>742.0</v>
      </c>
      <c r="L24" s="9">
        <v>1.36</v>
      </c>
      <c r="M24" s="13">
        <f t="shared" si="3"/>
        <v>742</v>
      </c>
      <c r="N24" s="13">
        <f t="shared" si="4"/>
        <v>742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1.55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0.51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1.36</v>
      </c>
    </row>
    <row r="25">
      <c r="A25" s="1" t="s">
        <v>30</v>
      </c>
      <c r="B25" s="12">
        <v>406.0</v>
      </c>
      <c r="C25" s="12">
        <v>406.0</v>
      </c>
      <c r="D25" s="7">
        <f t="shared" si="1"/>
        <v>0</v>
      </c>
      <c r="E25" s="9">
        <v>1.65</v>
      </c>
      <c r="F25" s="9">
        <v>406.0</v>
      </c>
      <c r="G25" s="9">
        <v>406.0</v>
      </c>
      <c r="H25" s="7">
        <f t="shared" si="2"/>
        <v>0</v>
      </c>
      <c r="I25" s="9">
        <v>0.33</v>
      </c>
      <c r="J25" s="9">
        <v>406.0</v>
      </c>
      <c r="K25" s="9">
        <v>406.0</v>
      </c>
      <c r="L25" s="9">
        <v>11.21</v>
      </c>
      <c r="M25" s="13">
        <f t="shared" si="3"/>
        <v>406</v>
      </c>
      <c r="N25" s="13">
        <f t="shared" si="4"/>
        <v>406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1.65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0.33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11.21</v>
      </c>
    </row>
    <row r="26">
      <c r="A26" s="1" t="s">
        <v>31</v>
      </c>
      <c r="B26" s="12">
        <v>439.0</v>
      </c>
      <c r="C26" s="12">
        <v>439.0</v>
      </c>
      <c r="D26" s="7">
        <f t="shared" si="1"/>
        <v>0</v>
      </c>
      <c r="E26" s="9">
        <v>3.34</v>
      </c>
      <c r="F26" s="9">
        <v>439.0</v>
      </c>
      <c r="G26" s="9">
        <v>439.0</v>
      </c>
      <c r="H26" s="7">
        <f t="shared" si="2"/>
        <v>0</v>
      </c>
      <c r="I26" s="9">
        <v>0.75</v>
      </c>
      <c r="J26" s="9">
        <v>439.0</v>
      </c>
      <c r="K26" s="9">
        <v>439.0</v>
      </c>
      <c r="L26" s="9">
        <v>0.53</v>
      </c>
      <c r="M26" s="13">
        <f t="shared" si="3"/>
        <v>439</v>
      </c>
      <c r="N26" s="13">
        <f t="shared" si="4"/>
        <v>439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3.34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0.75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0.53</v>
      </c>
    </row>
    <row r="27">
      <c r="A27" s="1" t="s">
        <v>32</v>
      </c>
      <c r="B27" s="12">
        <v>535.0</v>
      </c>
      <c r="C27" s="12">
        <v>540.0</v>
      </c>
      <c r="D27" s="7">
        <f t="shared" si="1"/>
        <v>0.009345794393</v>
      </c>
      <c r="E27" s="9">
        <v>3600.0</v>
      </c>
      <c r="F27" s="9">
        <v>535.0</v>
      </c>
      <c r="G27" s="9">
        <v>535.0</v>
      </c>
      <c r="H27" s="7">
        <f t="shared" si="2"/>
        <v>0</v>
      </c>
      <c r="I27" s="9">
        <v>34.12</v>
      </c>
      <c r="J27" s="9">
        <v>535.0</v>
      </c>
      <c r="K27" s="9">
        <v>535.0</v>
      </c>
      <c r="L27" s="9">
        <v>3.85</v>
      </c>
      <c r="M27" s="13">
        <f t="shared" si="3"/>
        <v>535</v>
      </c>
      <c r="N27" s="13">
        <f t="shared" si="4"/>
        <v>535</v>
      </c>
      <c r="O27" s="7">
        <f t="shared" si="5"/>
        <v>0</v>
      </c>
      <c r="Q27" s="7">
        <f t="shared" si="6"/>
        <v>0.009345794393</v>
      </c>
      <c r="R27" s="7">
        <f t="shared" si="7"/>
        <v>0</v>
      </c>
      <c r="S27" s="13" t="b">
        <f t="shared" si="8"/>
        <v>1</v>
      </c>
      <c r="T27" s="13">
        <f t="shared" si="9"/>
        <v>3600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34.12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3.85</v>
      </c>
    </row>
    <row r="28">
      <c r="A28" s="1" t="s">
        <v>33</v>
      </c>
      <c r="B28" s="12">
        <v>256.0</v>
      </c>
      <c r="C28" s="12">
        <v>262.0</v>
      </c>
      <c r="D28" s="7">
        <f t="shared" si="1"/>
        <v>0.0234375</v>
      </c>
      <c r="E28" s="9">
        <v>3600.0</v>
      </c>
      <c r="F28" s="9">
        <v>256.0</v>
      </c>
      <c r="G28" s="9">
        <v>256.0</v>
      </c>
      <c r="H28" s="7">
        <f t="shared" si="2"/>
        <v>0</v>
      </c>
      <c r="I28" s="9">
        <v>0.49</v>
      </c>
      <c r="J28" s="9">
        <v>256.0</v>
      </c>
      <c r="K28" s="9">
        <v>256.0</v>
      </c>
      <c r="L28" s="9">
        <v>0.45</v>
      </c>
      <c r="M28" s="13">
        <f t="shared" si="3"/>
        <v>256</v>
      </c>
      <c r="N28" s="13">
        <f t="shared" si="4"/>
        <v>256</v>
      </c>
      <c r="O28" s="7">
        <f t="shared" si="5"/>
        <v>0</v>
      </c>
      <c r="Q28" s="7">
        <f t="shared" si="6"/>
        <v>0.0234375</v>
      </c>
      <c r="R28" s="7">
        <f t="shared" si="7"/>
        <v>0</v>
      </c>
      <c r="S28" s="13" t="b">
        <f t="shared" si="8"/>
        <v>1</v>
      </c>
      <c r="T28" s="13">
        <f t="shared" si="9"/>
        <v>3600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0.49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0.45</v>
      </c>
    </row>
    <row r="29">
      <c r="A29" s="1" t="s">
        <v>34</v>
      </c>
      <c r="B29" s="12">
        <v>365.0</v>
      </c>
      <c r="C29" s="12">
        <v>365.0</v>
      </c>
      <c r="D29" s="7">
        <f t="shared" si="1"/>
        <v>0</v>
      </c>
      <c r="E29" s="9">
        <v>33.25</v>
      </c>
      <c r="F29" s="9">
        <v>365.0</v>
      </c>
      <c r="G29" s="9">
        <v>365.0</v>
      </c>
      <c r="H29" s="7">
        <f t="shared" si="2"/>
        <v>0</v>
      </c>
      <c r="I29" s="9">
        <v>5.67</v>
      </c>
      <c r="J29" s="9">
        <v>365.0</v>
      </c>
      <c r="K29" s="9">
        <v>365.0</v>
      </c>
      <c r="L29" s="9">
        <v>2.82</v>
      </c>
      <c r="M29" s="13">
        <f t="shared" si="3"/>
        <v>365</v>
      </c>
      <c r="N29" s="13">
        <f t="shared" si="4"/>
        <v>365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33.25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5.67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2.82</v>
      </c>
    </row>
    <row r="30">
      <c r="A30" s="1" t="s">
        <v>35</v>
      </c>
      <c r="B30" s="12">
        <v>611.0</v>
      </c>
      <c r="C30" s="12">
        <v>611.0</v>
      </c>
      <c r="D30" s="7">
        <f t="shared" si="1"/>
        <v>0</v>
      </c>
      <c r="E30" s="9">
        <v>11.53</v>
      </c>
      <c r="F30" s="9">
        <v>611.0</v>
      </c>
      <c r="G30" s="9">
        <v>611.0</v>
      </c>
      <c r="H30" s="7">
        <f t="shared" si="2"/>
        <v>0</v>
      </c>
      <c r="I30" s="9">
        <v>2.73</v>
      </c>
      <c r="J30" s="9">
        <v>611.0</v>
      </c>
      <c r="K30" s="9">
        <v>611.0</v>
      </c>
      <c r="L30" s="9">
        <v>1.06</v>
      </c>
      <c r="M30" s="13">
        <f t="shared" si="3"/>
        <v>611</v>
      </c>
      <c r="N30" s="13">
        <f t="shared" si="4"/>
        <v>611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11.53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2.73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1.06</v>
      </c>
    </row>
    <row r="31">
      <c r="A31" s="1" t="s">
        <v>36</v>
      </c>
      <c r="B31" s="12">
        <v>249.0</v>
      </c>
      <c r="C31" s="12">
        <v>249.0</v>
      </c>
      <c r="D31" s="7">
        <f t="shared" si="1"/>
        <v>0</v>
      </c>
      <c r="E31" s="9">
        <v>2.34</v>
      </c>
      <c r="F31" s="9">
        <v>249.0</v>
      </c>
      <c r="G31" s="9">
        <v>249.0</v>
      </c>
      <c r="H31" s="7">
        <f t="shared" si="2"/>
        <v>0</v>
      </c>
      <c r="I31" s="9">
        <v>0.98</v>
      </c>
      <c r="J31" s="9">
        <v>249.0</v>
      </c>
      <c r="K31" s="9">
        <v>249.0</v>
      </c>
      <c r="L31" s="9">
        <v>1.63</v>
      </c>
      <c r="M31" s="13">
        <f t="shared" si="3"/>
        <v>249</v>
      </c>
      <c r="N31" s="13">
        <f t="shared" si="4"/>
        <v>249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2.34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0.98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1.63</v>
      </c>
    </row>
    <row r="32">
      <c r="A32" s="1" t="s">
        <v>37</v>
      </c>
      <c r="B32" s="12">
        <v>715.0</v>
      </c>
      <c r="C32" s="12">
        <v>715.0</v>
      </c>
      <c r="D32" s="7">
        <f t="shared" si="1"/>
        <v>0</v>
      </c>
      <c r="E32" s="9">
        <v>5.43</v>
      </c>
      <c r="F32" s="9">
        <v>715.0</v>
      </c>
      <c r="G32" s="9">
        <v>715.0</v>
      </c>
      <c r="H32" s="7">
        <f t="shared" si="2"/>
        <v>0</v>
      </c>
      <c r="I32" s="9">
        <v>2.3</v>
      </c>
      <c r="J32" s="9">
        <v>715.0</v>
      </c>
      <c r="K32" s="9">
        <v>715.0</v>
      </c>
      <c r="L32" s="9">
        <v>2.15</v>
      </c>
      <c r="M32" s="13">
        <f t="shared" si="3"/>
        <v>715</v>
      </c>
      <c r="N32" s="13">
        <f t="shared" si="4"/>
        <v>715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5.43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2.3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2.15</v>
      </c>
      <c r="AD32" s="7">
        <f t="shared" ref="AD32:AE32" si="18">AVERAGE(Q3:Q32)</f>
        <v>0.00109277648</v>
      </c>
      <c r="AE32" s="7">
        <f t="shared" si="18"/>
        <v>0</v>
      </c>
      <c r="AF32" s="13">
        <f>COUNTIF(S3:S32, "TRUE")</f>
        <v>30</v>
      </c>
      <c r="AG32" s="13">
        <f>COUNTIF(Q3:Q32,"=0")</f>
        <v>28</v>
      </c>
      <c r="AH32" s="13">
        <f t="shared" ref="AH32:AJ32" si="19">AVERAGE(T3:T32)</f>
        <v>281.4633333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2.165333333</v>
      </c>
      <c r="AN32" s="7">
        <f t="shared" si="20"/>
        <v>0</v>
      </c>
      <c r="AO32" s="7">
        <f t="shared" si="20"/>
        <v>0.0001476232654</v>
      </c>
      <c r="AP32" s="13">
        <f>COUNTIF(AA3:AA32, "TRUE")</f>
        <v>30</v>
      </c>
      <c r="AQ32" s="13">
        <f>AVERAGE(AB3:AB32)</f>
        <v>6.132333333</v>
      </c>
    </row>
    <row r="33">
      <c r="A33" s="1" t="s">
        <v>38</v>
      </c>
      <c r="B33" s="12">
        <v>598.0</v>
      </c>
      <c r="C33" s="12">
        <v>637.0</v>
      </c>
      <c r="D33" s="7">
        <f t="shared" si="1"/>
        <v>0.0652173913</v>
      </c>
      <c r="E33" s="9">
        <v>3600.0</v>
      </c>
      <c r="F33" s="9">
        <v>603.0</v>
      </c>
      <c r="G33" s="9">
        <v>603.0</v>
      </c>
      <c r="H33" s="7">
        <f t="shared" si="2"/>
        <v>0</v>
      </c>
      <c r="I33" s="9">
        <v>3587.15</v>
      </c>
      <c r="J33" s="9">
        <v>603.0</v>
      </c>
      <c r="K33" s="9">
        <v>602.9</v>
      </c>
      <c r="L33" s="9">
        <v>44.44</v>
      </c>
      <c r="M33" s="13">
        <f t="shared" si="3"/>
        <v>603</v>
      </c>
      <c r="N33" s="13">
        <f t="shared" si="4"/>
        <v>603</v>
      </c>
      <c r="O33" s="7">
        <f t="shared" si="5"/>
        <v>0</v>
      </c>
      <c r="Q33" s="7">
        <f t="shared" si="6"/>
        <v>0.0652173913</v>
      </c>
      <c r="R33" s="7">
        <f t="shared" si="7"/>
        <v>0.008361204013</v>
      </c>
      <c r="S33" s="13" t="b">
        <f t="shared" si="8"/>
        <v>0</v>
      </c>
      <c r="T33" s="13">
        <f t="shared" si="9"/>
        <v>3600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3587.15</v>
      </c>
      <c r="Y33" s="7">
        <f t="shared" si="14"/>
        <v>0</v>
      </c>
      <c r="Z33" s="7">
        <f t="shared" si="15"/>
        <v>0.0001658649859</v>
      </c>
      <c r="AA33" s="13" t="b">
        <f t="shared" si="16"/>
        <v>1</v>
      </c>
      <c r="AB33" s="13">
        <f t="shared" si="17"/>
        <v>44.44</v>
      </c>
    </row>
    <row r="34">
      <c r="A34" s="1" t="s">
        <v>39</v>
      </c>
      <c r="B34" s="12">
        <v>1052.0</v>
      </c>
      <c r="C34" s="12">
        <v>1062.0</v>
      </c>
      <c r="D34" s="7">
        <f t="shared" si="1"/>
        <v>0.009505703422</v>
      </c>
      <c r="E34" s="9">
        <v>3600.0</v>
      </c>
      <c r="F34" s="9">
        <v>1052.0</v>
      </c>
      <c r="G34" s="9">
        <v>1052.0</v>
      </c>
      <c r="H34" s="7">
        <f t="shared" si="2"/>
        <v>0</v>
      </c>
      <c r="I34" s="9">
        <v>113.39</v>
      </c>
      <c r="J34" s="9">
        <v>1052.0</v>
      </c>
      <c r="K34" s="9">
        <v>1052.0</v>
      </c>
      <c r="L34" s="9">
        <v>113.17</v>
      </c>
      <c r="M34" s="13">
        <f t="shared" si="3"/>
        <v>1052</v>
      </c>
      <c r="N34" s="13">
        <f t="shared" si="4"/>
        <v>1052</v>
      </c>
      <c r="O34" s="7">
        <f t="shared" si="5"/>
        <v>0</v>
      </c>
      <c r="Q34" s="7">
        <f t="shared" si="6"/>
        <v>0.009505703422</v>
      </c>
      <c r="R34" s="7">
        <f t="shared" si="7"/>
        <v>0</v>
      </c>
      <c r="S34" s="13" t="b">
        <f t="shared" si="8"/>
        <v>1</v>
      </c>
      <c r="T34" s="13">
        <f t="shared" si="9"/>
        <v>3600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113.39</v>
      </c>
      <c r="Y34" s="7">
        <f t="shared" si="14"/>
        <v>0</v>
      </c>
      <c r="Z34" s="7">
        <f t="shared" si="15"/>
        <v>0</v>
      </c>
      <c r="AA34" s="13" t="b">
        <f t="shared" si="16"/>
        <v>1</v>
      </c>
      <c r="AB34" s="13">
        <f t="shared" si="17"/>
        <v>113.17</v>
      </c>
    </row>
    <row r="35">
      <c r="A35" s="1" t="s">
        <v>40</v>
      </c>
      <c r="B35" s="12">
        <v>981.0</v>
      </c>
      <c r="C35" s="12">
        <v>1014.0</v>
      </c>
      <c r="D35" s="7">
        <f t="shared" si="1"/>
        <v>0.03363914373</v>
      </c>
      <c r="E35" s="9">
        <v>3600.0</v>
      </c>
      <c r="F35" s="9">
        <v>1001.0</v>
      </c>
      <c r="G35" s="9">
        <v>1006.0</v>
      </c>
      <c r="H35" s="7">
        <f t="shared" si="2"/>
        <v>0.004995004995</v>
      </c>
      <c r="I35" s="9">
        <v>3600.0</v>
      </c>
      <c r="J35" s="9">
        <v>1001.0</v>
      </c>
      <c r="K35" s="9">
        <v>1001.0</v>
      </c>
      <c r="L35" s="9">
        <v>23.05</v>
      </c>
      <c r="M35" s="13">
        <f t="shared" si="3"/>
        <v>1001</v>
      </c>
      <c r="N35" s="13">
        <f t="shared" si="4"/>
        <v>1006</v>
      </c>
      <c r="O35" s="7">
        <f t="shared" si="5"/>
        <v>0.004995004995</v>
      </c>
      <c r="Q35" s="7">
        <f t="shared" si="6"/>
        <v>0.03363914373</v>
      </c>
      <c r="R35" s="7">
        <f t="shared" si="7"/>
        <v>0.02038735984</v>
      </c>
      <c r="S35" s="13" t="b">
        <f t="shared" si="8"/>
        <v>0</v>
      </c>
      <c r="T35" s="13">
        <f t="shared" si="9"/>
        <v>3600</v>
      </c>
      <c r="U35" s="7">
        <f t="shared" si="10"/>
        <v>0.004995004995</v>
      </c>
      <c r="V35" s="7">
        <f t="shared" si="11"/>
        <v>0</v>
      </c>
      <c r="W35" s="13" t="b">
        <f t="shared" si="12"/>
        <v>1</v>
      </c>
      <c r="X35" s="13">
        <f t="shared" si="13"/>
        <v>3600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23.05</v>
      </c>
    </row>
    <row r="36">
      <c r="A36" s="1" t="s">
        <v>41</v>
      </c>
      <c r="B36" s="12">
        <v>1928.0</v>
      </c>
      <c r="C36" s="12">
        <v>1950.0</v>
      </c>
      <c r="D36" s="7">
        <f t="shared" si="1"/>
        <v>0.01141078838</v>
      </c>
      <c r="E36" s="9">
        <v>3600.0</v>
      </c>
      <c r="F36" s="9">
        <v>1928.0</v>
      </c>
      <c r="G36" s="9">
        <v>1928.0</v>
      </c>
      <c r="H36" s="7">
        <f t="shared" si="2"/>
        <v>0</v>
      </c>
      <c r="I36" s="9">
        <v>33.72</v>
      </c>
      <c r="J36" s="9">
        <v>1928.0</v>
      </c>
      <c r="K36" s="9">
        <v>1928.0</v>
      </c>
      <c r="L36" s="9">
        <v>55.53</v>
      </c>
      <c r="M36" s="13">
        <f t="shared" si="3"/>
        <v>1928</v>
      </c>
      <c r="N36" s="13">
        <f t="shared" si="4"/>
        <v>1928</v>
      </c>
      <c r="O36" s="7">
        <f t="shared" si="5"/>
        <v>0</v>
      </c>
      <c r="Q36" s="7">
        <f t="shared" si="6"/>
        <v>0.01141078838</v>
      </c>
      <c r="R36" s="7">
        <f t="shared" si="7"/>
        <v>0</v>
      </c>
      <c r="S36" s="13" t="b">
        <f t="shared" si="8"/>
        <v>1</v>
      </c>
      <c r="T36" s="13">
        <f t="shared" si="9"/>
        <v>3600</v>
      </c>
      <c r="U36" s="7">
        <f t="shared" si="10"/>
        <v>0</v>
      </c>
      <c r="V36" s="7">
        <f t="shared" si="11"/>
        <v>0</v>
      </c>
      <c r="W36" s="13" t="b">
        <f t="shared" si="12"/>
        <v>1</v>
      </c>
      <c r="X36" s="13">
        <f t="shared" si="13"/>
        <v>33.72</v>
      </c>
      <c r="Y36" s="7">
        <f t="shared" si="14"/>
        <v>0</v>
      </c>
      <c r="Z36" s="7">
        <f t="shared" si="15"/>
        <v>0</v>
      </c>
      <c r="AA36" s="13" t="b">
        <f t="shared" si="16"/>
        <v>1</v>
      </c>
      <c r="AB36" s="13">
        <f t="shared" si="17"/>
        <v>55.53</v>
      </c>
    </row>
    <row r="37">
      <c r="A37" s="1" t="s">
        <v>42</v>
      </c>
      <c r="B37" s="12">
        <v>1266.0</v>
      </c>
      <c r="C37" s="12">
        <v>1266.0</v>
      </c>
      <c r="D37" s="7">
        <f t="shared" si="1"/>
        <v>0</v>
      </c>
      <c r="E37" s="9">
        <v>1113.12</v>
      </c>
      <c r="F37" s="9">
        <v>1266.0</v>
      </c>
      <c r="G37" s="9">
        <v>1266.0</v>
      </c>
      <c r="H37" s="7">
        <f t="shared" si="2"/>
        <v>0</v>
      </c>
      <c r="I37" s="9">
        <v>60.76</v>
      </c>
      <c r="J37" s="9">
        <v>1266.0</v>
      </c>
      <c r="K37" s="9">
        <v>1266.0</v>
      </c>
      <c r="L37" s="9">
        <v>16.47</v>
      </c>
      <c r="M37" s="13">
        <f t="shared" si="3"/>
        <v>1266</v>
      </c>
      <c r="N37" s="13">
        <f t="shared" si="4"/>
        <v>1266</v>
      </c>
      <c r="O37" s="7">
        <f t="shared" si="5"/>
        <v>0</v>
      </c>
      <c r="Q37" s="7">
        <f t="shared" si="6"/>
        <v>0</v>
      </c>
      <c r="R37" s="7">
        <f t="shared" si="7"/>
        <v>0</v>
      </c>
      <c r="S37" s="13" t="b">
        <f t="shared" si="8"/>
        <v>1</v>
      </c>
      <c r="T37" s="13">
        <f t="shared" si="9"/>
        <v>1113.12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60.76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16.47</v>
      </c>
    </row>
    <row r="38">
      <c r="A38" s="1" t="s">
        <v>43</v>
      </c>
      <c r="B38" s="12">
        <v>1239.0</v>
      </c>
      <c r="C38" s="12">
        <v>1746.0</v>
      </c>
      <c r="D38" s="7">
        <f t="shared" si="1"/>
        <v>0.4092009685</v>
      </c>
      <c r="E38" s="9">
        <v>3600.0</v>
      </c>
      <c r="F38" s="9">
        <v>1239.0</v>
      </c>
      <c r="G38" s="9">
        <v>1288.0</v>
      </c>
      <c r="H38" s="7">
        <f t="shared" si="2"/>
        <v>0.0395480226</v>
      </c>
      <c r="I38" s="9">
        <v>3600.0</v>
      </c>
      <c r="J38" s="9">
        <v>1239.0</v>
      </c>
      <c r="K38" s="9">
        <v>1239.0</v>
      </c>
      <c r="L38" s="9">
        <v>12.28</v>
      </c>
      <c r="M38" s="13">
        <f t="shared" si="3"/>
        <v>1239</v>
      </c>
      <c r="N38" s="13">
        <f t="shared" si="4"/>
        <v>1288</v>
      </c>
      <c r="O38" s="7">
        <f t="shared" si="5"/>
        <v>0.0395480226</v>
      </c>
      <c r="Q38" s="7">
        <f t="shared" si="6"/>
        <v>0.4092009685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0.0395480226</v>
      </c>
      <c r="V38" s="7">
        <f t="shared" si="11"/>
        <v>0</v>
      </c>
      <c r="W38" s="13" t="b">
        <f t="shared" si="12"/>
        <v>1</v>
      </c>
      <c r="X38" s="13">
        <f t="shared" si="13"/>
        <v>3600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12.28</v>
      </c>
    </row>
    <row r="39">
      <c r="A39" s="1" t="s">
        <v>44</v>
      </c>
      <c r="B39" s="12">
        <v>2396.0</v>
      </c>
      <c r="C39" s="12">
        <v>2501.0</v>
      </c>
      <c r="D39" s="7">
        <f t="shared" si="1"/>
        <v>0.0438230384</v>
      </c>
      <c r="E39" s="9">
        <v>3600.0</v>
      </c>
      <c r="F39" s="9">
        <v>2397.0</v>
      </c>
      <c r="G39" s="9">
        <v>2397.0</v>
      </c>
      <c r="H39" s="7">
        <f t="shared" si="2"/>
        <v>0</v>
      </c>
      <c r="I39" s="9">
        <v>3389.37</v>
      </c>
      <c r="J39" s="9">
        <v>2397.0</v>
      </c>
      <c r="K39" s="9">
        <v>2397.0</v>
      </c>
      <c r="L39" s="9">
        <v>29.28</v>
      </c>
      <c r="M39" s="13">
        <f t="shared" si="3"/>
        <v>2397</v>
      </c>
      <c r="N39" s="13">
        <f t="shared" si="4"/>
        <v>2397</v>
      </c>
      <c r="O39" s="7">
        <f t="shared" si="5"/>
        <v>0</v>
      </c>
      <c r="Q39" s="7">
        <f t="shared" si="6"/>
        <v>0.0438230384</v>
      </c>
      <c r="R39" s="7">
        <f t="shared" si="7"/>
        <v>0.0004173622705</v>
      </c>
      <c r="S39" s="13" t="b">
        <f t="shared" si="8"/>
        <v>0</v>
      </c>
      <c r="T39" s="13">
        <f t="shared" si="9"/>
        <v>3600</v>
      </c>
      <c r="U39" s="7">
        <f t="shared" si="10"/>
        <v>0</v>
      </c>
      <c r="V39" s="7">
        <f t="shared" si="11"/>
        <v>0</v>
      </c>
      <c r="W39" s="13" t="b">
        <f t="shared" si="12"/>
        <v>1</v>
      </c>
      <c r="X39" s="13">
        <f t="shared" si="13"/>
        <v>3389.37</v>
      </c>
      <c r="Y39" s="7">
        <f t="shared" si="14"/>
        <v>0</v>
      </c>
      <c r="Z39" s="7">
        <f t="shared" si="15"/>
        <v>0</v>
      </c>
      <c r="AA39" s="13" t="b">
        <f t="shared" si="16"/>
        <v>1</v>
      </c>
      <c r="AB39" s="13">
        <f t="shared" si="17"/>
        <v>29.28</v>
      </c>
    </row>
    <row r="40">
      <c r="A40" s="1" t="s">
        <v>45</v>
      </c>
      <c r="B40" s="12">
        <v>1574.0</v>
      </c>
      <c r="C40" s="12">
        <v>1581.0</v>
      </c>
      <c r="D40" s="7">
        <f t="shared" si="1"/>
        <v>0.004447268107</v>
      </c>
      <c r="E40" s="9">
        <v>3600.0</v>
      </c>
      <c r="F40" s="9">
        <v>1574.0</v>
      </c>
      <c r="G40" s="9">
        <v>1574.0</v>
      </c>
      <c r="H40" s="7">
        <f t="shared" si="2"/>
        <v>0</v>
      </c>
      <c r="I40" s="9">
        <v>30.46</v>
      </c>
      <c r="J40" s="9">
        <v>1574.0</v>
      </c>
      <c r="K40" s="9">
        <v>1574.0</v>
      </c>
      <c r="L40" s="9">
        <v>5.68</v>
      </c>
      <c r="M40" s="13">
        <f t="shared" si="3"/>
        <v>1574</v>
      </c>
      <c r="N40" s="13">
        <f t="shared" si="4"/>
        <v>1574</v>
      </c>
      <c r="O40" s="7">
        <f t="shared" si="5"/>
        <v>0</v>
      </c>
      <c r="Q40" s="7">
        <f t="shared" si="6"/>
        <v>0.004447268107</v>
      </c>
      <c r="R40" s="7">
        <f t="shared" si="7"/>
        <v>0</v>
      </c>
      <c r="S40" s="13" t="b">
        <f t="shared" si="8"/>
        <v>1</v>
      </c>
      <c r="T40" s="13">
        <f t="shared" si="9"/>
        <v>3600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30.46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5.68</v>
      </c>
    </row>
    <row r="41">
      <c r="A41" s="1" t="s">
        <v>46</v>
      </c>
      <c r="B41" s="12">
        <v>1532.0</v>
      </c>
      <c r="C41" s="12">
        <v>1577.0</v>
      </c>
      <c r="D41" s="7">
        <f t="shared" si="1"/>
        <v>0.02937336815</v>
      </c>
      <c r="E41" s="9">
        <v>3600.0</v>
      </c>
      <c r="F41" s="9">
        <v>1532.0</v>
      </c>
      <c r="G41" s="9">
        <v>1532.0</v>
      </c>
      <c r="H41" s="7">
        <f t="shared" si="2"/>
        <v>0</v>
      </c>
      <c r="I41" s="9">
        <v>1397.22</v>
      </c>
      <c r="J41" s="9">
        <v>1532.0</v>
      </c>
      <c r="K41" s="9">
        <v>1532.0</v>
      </c>
      <c r="L41" s="9">
        <v>9.12</v>
      </c>
      <c r="M41" s="13">
        <f t="shared" si="3"/>
        <v>1532</v>
      </c>
      <c r="N41" s="13">
        <f t="shared" si="4"/>
        <v>1532</v>
      </c>
      <c r="O41" s="7">
        <f t="shared" si="5"/>
        <v>0</v>
      </c>
      <c r="Q41" s="7">
        <f t="shared" si="6"/>
        <v>0.02937336815</v>
      </c>
      <c r="R41" s="7">
        <f t="shared" si="7"/>
        <v>0</v>
      </c>
      <c r="S41" s="13" t="b">
        <f t="shared" si="8"/>
        <v>1</v>
      </c>
      <c r="T41" s="13">
        <f t="shared" si="9"/>
        <v>3600</v>
      </c>
      <c r="U41" s="7">
        <f t="shared" si="10"/>
        <v>0</v>
      </c>
      <c r="V41" s="7">
        <f t="shared" si="11"/>
        <v>0</v>
      </c>
      <c r="W41" s="13" t="b">
        <f t="shared" si="12"/>
        <v>1</v>
      </c>
      <c r="X41" s="13">
        <f t="shared" si="13"/>
        <v>1397.22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9.12</v>
      </c>
    </row>
    <row r="42">
      <c r="A42" s="1" t="s">
        <v>47</v>
      </c>
      <c r="B42" s="12">
        <v>2466.0</v>
      </c>
      <c r="C42" s="12">
        <v>2494.0</v>
      </c>
      <c r="D42" s="7">
        <f t="shared" si="1"/>
        <v>0.01135442011</v>
      </c>
      <c r="E42" s="9">
        <v>3600.0</v>
      </c>
      <c r="F42" s="9">
        <v>2492.0</v>
      </c>
      <c r="G42" s="9">
        <v>2492.0</v>
      </c>
      <c r="H42" s="7">
        <f t="shared" si="2"/>
        <v>0</v>
      </c>
      <c r="I42" s="9">
        <v>164.32</v>
      </c>
      <c r="J42" s="9">
        <v>2492.0</v>
      </c>
      <c r="K42" s="9">
        <v>2492.0</v>
      </c>
      <c r="L42" s="9">
        <v>260.14</v>
      </c>
      <c r="M42" s="13">
        <f t="shared" si="3"/>
        <v>2492</v>
      </c>
      <c r="N42" s="13">
        <f t="shared" si="4"/>
        <v>2492</v>
      </c>
      <c r="O42" s="7">
        <f t="shared" si="5"/>
        <v>0</v>
      </c>
      <c r="Q42" s="7">
        <f t="shared" si="6"/>
        <v>0.01135442011</v>
      </c>
      <c r="R42" s="7">
        <f t="shared" si="7"/>
        <v>0.01054339011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164.32</v>
      </c>
      <c r="Y42" s="7">
        <f t="shared" si="14"/>
        <v>0</v>
      </c>
      <c r="Z42" s="7">
        <f t="shared" si="15"/>
        <v>0</v>
      </c>
      <c r="AA42" s="13" t="b">
        <f t="shared" si="16"/>
        <v>1</v>
      </c>
      <c r="AB42" s="13">
        <f t="shared" si="17"/>
        <v>260.14</v>
      </c>
    </row>
    <row r="43">
      <c r="A43" s="1" t="s">
        <v>48</v>
      </c>
      <c r="B43" s="12">
        <v>2178.0</v>
      </c>
      <c r="C43" s="12">
        <v>2178.0</v>
      </c>
      <c r="D43" s="7">
        <f t="shared" si="1"/>
        <v>0</v>
      </c>
      <c r="E43" s="9">
        <v>2836.78</v>
      </c>
      <c r="F43" s="9">
        <v>2178.0</v>
      </c>
      <c r="G43" s="9">
        <v>2178.0</v>
      </c>
      <c r="H43" s="7">
        <f t="shared" si="2"/>
        <v>0</v>
      </c>
      <c r="I43" s="9">
        <v>707.65</v>
      </c>
      <c r="J43" s="9">
        <v>2178.0</v>
      </c>
      <c r="K43" s="9">
        <v>2178.0</v>
      </c>
      <c r="L43" s="9">
        <v>63.86</v>
      </c>
      <c r="M43" s="13">
        <f t="shared" si="3"/>
        <v>2178</v>
      </c>
      <c r="N43" s="13">
        <f t="shared" si="4"/>
        <v>2178</v>
      </c>
      <c r="O43" s="7">
        <f t="shared" si="5"/>
        <v>0</v>
      </c>
      <c r="Q43" s="7">
        <f t="shared" si="6"/>
        <v>0</v>
      </c>
      <c r="R43" s="7">
        <f t="shared" si="7"/>
        <v>0</v>
      </c>
      <c r="S43" s="13" t="b">
        <f t="shared" si="8"/>
        <v>1</v>
      </c>
      <c r="T43" s="13">
        <f t="shared" si="9"/>
        <v>2836.78</v>
      </c>
      <c r="U43" s="7">
        <f t="shared" si="10"/>
        <v>0</v>
      </c>
      <c r="V43" s="7">
        <f t="shared" si="11"/>
        <v>0</v>
      </c>
      <c r="W43" s="13" t="b">
        <f t="shared" si="12"/>
        <v>1</v>
      </c>
      <c r="X43" s="13">
        <f t="shared" si="13"/>
        <v>707.65</v>
      </c>
      <c r="Y43" s="7">
        <f t="shared" si="14"/>
        <v>0</v>
      </c>
      <c r="Z43" s="7">
        <f t="shared" si="15"/>
        <v>0</v>
      </c>
      <c r="AA43" s="13" t="b">
        <f t="shared" si="16"/>
        <v>1</v>
      </c>
      <c r="AB43" s="13">
        <f t="shared" si="17"/>
        <v>63.86</v>
      </c>
    </row>
    <row r="44">
      <c r="A44" s="1" t="s">
        <v>49</v>
      </c>
      <c r="B44" s="12">
        <v>2270.0</v>
      </c>
      <c r="C44" s="12">
        <v>2306.0</v>
      </c>
      <c r="D44" s="7">
        <f t="shared" si="1"/>
        <v>0.01585903084</v>
      </c>
      <c r="E44" s="9">
        <v>3600.0</v>
      </c>
      <c r="F44" s="9">
        <v>2278.0</v>
      </c>
      <c r="G44" s="9">
        <v>2278.0</v>
      </c>
      <c r="H44" s="7">
        <f t="shared" si="2"/>
        <v>0</v>
      </c>
      <c r="I44" s="9">
        <v>1314.83</v>
      </c>
      <c r="J44" s="9">
        <v>2278.0</v>
      </c>
      <c r="K44" s="9">
        <v>2276.8</v>
      </c>
      <c r="L44" s="9">
        <v>110.26</v>
      </c>
      <c r="M44" s="13">
        <f t="shared" si="3"/>
        <v>2278</v>
      </c>
      <c r="N44" s="13">
        <f t="shared" si="4"/>
        <v>2278</v>
      </c>
      <c r="O44" s="7">
        <f t="shared" si="5"/>
        <v>0</v>
      </c>
      <c r="Q44" s="7">
        <f t="shared" si="6"/>
        <v>0.01585903084</v>
      </c>
      <c r="R44" s="7">
        <f t="shared" si="7"/>
        <v>0.003524229075</v>
      </c>
      <c r="S44" s="13" t="b">
        <f t="shared" si="8"/>
        <v>0</v>
      </c>
      <c r="T44" s="13">
        <f t="shared" si="9"/>
        <v>3600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1314.83</v>
      </c>
      <c r="Y44" s="7">
        <f t="shared" si="14"/>
        <v>0</v>
      </c>
      <c r="Z44" s="7">
        <f t="shared" si="15"/>
        <v>0.0005270555165</v>
      </c>
      <c r="AA44" s="13" t="b">
        <f t="shared" si="16"/>
        <v>1</v>
      </c>
      <c r="AB44" s="13">
        <f t="shared" si="17"/>
        <v>110.26</v>
      </c>
    </row>
    <row r="45">
      <c r="A45" s="1" t="s">
        <v>50</v>
      </c>
      <c r="B45" s="12">
        <v>2505.0</v>
      </c>
      <c r="C45" s="12">
        <v>2636.0</v>
      </c>
      <c r="D45" s="7">
        <f t="shared" si="1"/>
        <v>0.05229540918</v>
      </c>
      <c r="E45" s="9">
        <v>3600.0</v>
      </c>
      <c r="F45" s="9">
        <v>2571.0</v>
      </c>
      <c r="G45" s="9">
        <v>2573.0</v>
      </c>
      <c r="H45" s="7">
        <f t="shared" si="2"/>
        <v>0.000777907429</v>
      </c>
      <c r="I45" s="9">
        <v>3600.0</v>
      </c>
      <c r="J45" s="9">
        <v>2571.0</v>
      </c>
      <c r="K45" s="9">
        <v>2569.1</v>
      </c>
      <c r="L45" s="9">
        <v>103.42</v>
      </c>
      <c r="M45" s="13">
        <f t="shared" si="3"/>
        <v>2571</v>
      </c>
      <c r="N45" s="13">
        <f t="shared" si="4"/>
        <v>2573</v>
      </c>
      <c r="O45" s="7">
        <f t="shared" si="5"/>
        <v>0.000777907429</v>
      </c>
      <c r="Q45" s="7">
        <f t="shared" si="6"/>
        <v>0.05229540918</v>
      </c>
      <c r="R45" s="7">
        <f t="shared" si="7"/>
        <v>0.02634730539</v>
      </c>
      <c r="S45" s="13" t="b">
        <f t="shared" si="8"/>
        <v>0</v>
      </c>
      <c r="T45" s="13">
        <f t="shared" si="9"/>
        <v>3600</v>
      </c>
      <c r="U45" s="7">
        <f t="shared" si="10"/>
        <v>0.000777907429</v>
      </c>
      <c r="V45" s="7">
        <f t="shared" si="11"/>
        <v>0</v>
      </c>
      <c r="W45" s="13" t="b">
        <f t="shared" si="12"/>
        <v>1</v>
      </c>
      <c r="X45" s="13">
        <f t="shared" si="13"/>
        <v>3600</v>
      </c>
      <c r="Y45" s="7">
        <f t="shared" si="14"/>
        <v>0</v>
      </c>
      <c r="Z45" s="7">
        <f t="shared" si="15"/>
        <v>0.0007395586003</v>
      </c>
      <c r="AA45" s="13" t="b">
        <f t="shared" si="16"/>
        <v>1</v>
      </c>
      <c r="AB45" s="13">
        <f t="shared" si="17"/>
        <v>103.42</v>
      </c>
    </row>
    <row r="46">
      <c r="A46" s="1" t="s">
        <v>51</v>
      </c>
      <c r="B46" s="12">
        <v>1914.0</v>
      </c>
      <c r="C46" s="12">
        <v>2594.0</v>
      </c>
      <c r="D46" s="7">
        <f t="shared" si="1"/>
        <v>0.355276907</v>
      </c>
      <c r="E46" s="9">
        <v>3600.0</v>
      </c>
      <c r="F46" s="9">
        <v>1958.0</v>
      </c>
      <c r="G46" s="9">
        <v>1963.0</v>
      </c>
      <c r="H46" s="7">
        <f t="shared" si="2"/>
        <v>0.002553626149</v>
      </c>
      <c r="I46" s="9">
        <v>3600.0</v>
      </c>
      <c r="J46" s="9">
        <v>1958.0</v>
      </c>
      <c r="K46" s="9">
        <v>1958.0</v>
      </c>
      <c r="L46" s="9">
        <v>71.08</v>
      </c>
      <c r="M46" s="13">
        <f t="shared" si="3"/>
        <v>1958</v>
      </c>
      <c r="N46" s="13">
        <f t="shared" si="4"/>
        <v>1963</v>
      </c>
      <c r="O46" s="7">
        <f t="shared" si="5"/>
        <v>0.002553626149</v>
      </c>
      <c r="Q46" s="7">
        <f t="shared" si="6"/>
        <v>0.355276907</v>
      </c>
      <c r="R46" s="7">
        <f t="shared" si="7"/>
        <v>0.02298850575</v>
      </c>
      <c r="S46" s="13" t="b">
        <f t="shared" si="8"/>
        <v>0</v>
      </c>
      <c r="T46" s="13">
        <f t="shared" si="9"/>
        <v>3600</v>
      </c>
      <c r="U46" s="7">
        <f t="shared" si="10"/>
        <v>0.002553626149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71.08</v>
      </c>
    </row>
    <row r="47">
      <c r="A47" s="1" t="s">
        <v>52</v>
      </c>
      <c r="B47" s="12">
        <v>1907.0</v>
      </c>
      <c r="C47" s="12">
        <v>2157.0</v>
      </c>
      <c r="D47" s="7">
        <f t="shared" si="1"/>
        <v>0.1310959622</v>
      </c>
      <c r="E47" s="9">
        <v>3600.0</v>
      </c>
      <c r="F47" s="9">
        <v>1982.0</v>
      </c>
      <c r="G47" s="9">
        <v>2045.0</v>
      </c>
      <c r="H47" s="7">
        <f t="shared" si="2"/>
        <v>0.03178607467</v>
      </c>
      <c r="I47" s="9">
        <v>3600.0</v>
      </c>
      <c r="J47" s="9">
        <v>1982.0</v>
      </c>
      <c r="K47" s="9">
        <v>1981.5</v>
      </c>
      <c r="L47" s="9">
        <v>166.15</v>
      </c>
      <c r="M47" s="13">
        <f t="shared" si="3"/>
        <v>1982</v>
      </c>
      <c r="N47" s="13">
        <f t="shared" si="4"/>
        <v>2045</v>
      </c>
      <c r="O47" s="7">
        <f t="shared" si="5"/>
        <v>0.03178607467</v>
      </c>
      <c r="Q47" s="7">
        <f t="shared" si="6"/>
        <v>0.1310959622</v>
      </c>
      <c r="R47" s="7">
        <f t="shared" si="7"/>
        <v>0.03932878867</v>
      </c>
      <c r="S47" s="13" t="b">
        <f t="shared" si="8"/>
        <v>0</v>
      </c>
      <c r="T47" s="13">
        <f t="shared" si="9"/>
        <v>3600</v>
      </c>
      <c r="U47" s="7">
        <f t="shared" si="10"/>
        <v>0.03178607467</v>
      </c>
      <c r="V47" s="7">
        <f t="shared" si="11"/>
        <v>0</v>
      </c>
      <c r="W47" s="13" t="b">
        <f t="shared" si="12"/>
        <v>1</v>
      </c>
      <c r="X47" s="13">
        <f t="shared" si="13"/>
        <v>3600</v>
      </c>
      <c r="Y47" s="7">
        <f t="shared" si="14"/>
        <v>0</v>
      </c>
      <c r="Z47" s="7">
        <f t="shared" si="15"/>
        <v>0.0002523340903</v>
      </c>
      <c r="AA47" s="13" t="b">
        <f t="shared" si="16"/>
        <v>1</v>
      </c>
      <c r="AB47" s="13">
        <f t="shared" si="17"/>
        <v>166.15</v>
      </c>
    </row>
    <row r="48">
      <c r="A48" s="1" t="s">
        <v>53</v>
      </c>
      <c r="B48" s="12">
        <v>2772.0</v>
      </c>
      <c r="C48" s="12">
        <v>2919.0</v>
      </c>
      <c r="D48" s="7">
        <f t="shared" si="1"/>
        <v>0.05303030303</v>
      </c>
      <c r="E48" s="9">
        <v>3600.0</v>
      </c>
      <c r="F48" s="9">
        <v>2787.0</v>
      </c>
      <c r="G48" s="9">
        <v>2787.0</v>
      </c>
      <c r="H48" s="7">
        <f t="shared" si="2"/>
        <v>0</v>
      </c>
      <c r="I48" s="9">
        <v>956.34</v>
      </c>
      <c r="J48" s="9">
        <v>2787.0</v>
      </c>
      <c r="K48" s="9">
        <v>2787.0</v>
      </c>
      <c r="L48" s="9">
        <v>71.85</v>
      </c>
      <c r="M48" s="13">
        <f t="shared" si="3"/>
        <v>2787</v>
      </c>
      <c r="N48" s="13">
        <f t="shared" si="4"/>
        <v>2787</v>
      </c>
      <c r="O48" s="7">
        <f t="shared" si="5"/>
        <v>0</v>
      </c>
      <c r="Q48" s="7">
        <f t="shared" si="6"/>
        <v>0.05303030303</v>
      </c>
      <c r="R48" s="7">
        <f t="shared" si="7"/>
        <v>0.005411255411</v>
      </c>
      <c r="S48" s="13" t="b">
        <f t="shared" si="8"/>
        <v>0</v>
      </c>
      <c r="T48" s="13">
        <f t="shared" si="9"/>
        <v>3600</v>
      </c>
      <c r="U48" s="7">
        <f t="shared" si="10"/>
        <v>0</v>
      </c>
      <c r="V48" s="7">
        <f t="shared" si="11"/>
        <v>0</v>
      </c>
      <c r="W48" s="13" t="b">
        <f t="shared" si="12"/>
        <v>1</v>
      </c>
      <c r="X48" s="13">
        <f t="shared" si="13"/>
        <v>956.34</v>
      </c>
      <c r="Y48" s="7">
        <f t="shared" si="14"/>
        <v>0</v>
      </c>
      <c r="Z48" s="7">
        <f t="shared" si="15"/>
        <v>0</v>
      </c>
      <c r="AA48" s="13" t="b">
        <f t="shared" si="16"/>
        <v>1</v>
      </c>
      <c r="AB48" s="13">
        <f t="shared" si="17"/>
        <v>71.85</v>
      </c>
    </row>
    <row r="49">
      <c r="A49" s="1" t="s">
        <v>54</v>
      </c>
      <c r="B49" s="12">
        <v>3133.0</v>
      </c>
      <c r="C49" s="12">
        <v>3142.0</v>
      </c>
      <c r="D49" s="7">
        <f t="shared" si="1"/>
        <v>0.002872646026</v>
      </c>
      <c r="E49" s="9">
        <v>3600.0</v>
      </c>
      <c r="F49" s="9">
        <v>3136.0</v>
      </c>
      <c r="G49" s="9">
        <v>3140.0</v>
      </c>
      <c r="H49" s="7">
        <f t="shared" si="2"/>
        <v>0.001275510204</v>
      </c>
      <c r="I49" s="9">
        <v>3600.0</v>
      </c>
      <c r="J49" s="9">
        <v>3138.0</v>
      </c>
      <c r="K49" s="9">
        <v>3136.4</v>
      </c>
      <c r="L49" s="9">
        <v>63.64</v>
      </c>
      <c r="M49" s="13">
        <f t="shared" si="3"/>
        <v>3138</v>
      </c>
      <c r="N49" s="13">
        <f t="shared" si="4"/>
        <v>3140</v>
      </c>
      <c r="O49" s="7">
        <f t="shared" si="5"/>
        <v>0.0006373486297</v>
      </c>
      <c r="Q49" s="7">
        <f t="shared" si="6"/>
        <v>0.002872646026</v>
      </c>
      <c r="R49" s="7">
        <f t="shared" si="7"/>
        <v>0.001595914459</v>
      </c>
      <c r="S49" s="13" t="b">
        <f t="shared" si="8"/>
        <v>0</v>
      </c>
      <c r="T49" s="13">
        <f t="shared" si="9"/>
        <v>3600</v>
      </c>
      <c r="U49" s="7">
        <f t="shared" si="10"/>
        <v>0.001275510204</v>
      </c>
      <c r="V49" s="7">
        <f t="shared" si="11"/>
        <v>0.000637755102</v>
      </c>
      <c r="W49" s="13" t="b">
        <f t="shared" si="12"/>
        <v>0</v>
      </c>
      <c r="X49" s="13">
        <f t="shared" si="13"/>
        <v>3600</v>
      </c>
      <c r="Y49" s="7">
        <f t="shared" si="14"/>
        <v>0</v>
      </c>
      <c r="Z49" s="7">
        <f t="shared" si="15"/>
        <v>0.0005101390129</v>
      </c>
      <c r="AA49" s="13" t="b">
        <f t="shared" si="16"/>
        <v>1</v>
      </c>
      <c r="AB49" s="13">
        <f t="shared" si="17"/>
        <v>63.64</v>
      </c>
    </row>
    <row r="50">
      <c r="A50" s="1" t="s">
        <v>55</v>
      </c>
      <c r="B50" s="12">
        <v>2659.0</v>
      </c>
      <c r="C50" s="12">
        <v>3622.0</v>
      </c>
      <c r="D50" s="7">
        <f t="shared" si="1"/>
        <v>0.3621662279</v>
      </c>
      <c r="E50" s="9">
        <v>3600.0</v>
      </c>
      <c r="F50" s="9">
        <v>2713.0</v>
      </c>
      <c r="G50" s="9">
        <v>2961.0</v>
      </c>
      <c r="H50" s="7">
        <f t="shared" si="2"/>
        <v>0.09141172134</v>
      </c>
      <c r="I50" s="9">
        <v>3600.0</v>
      </c>
      <c r="J50" s="9">
        <v>2713.0</v>
      </c>
      <c r="K50" s="9">
        <v>2712.4</v>
      </c>
      <c r="L50" s="9">
        <v>228.28</v>
      </c>
      <c r="M50" s="13">
        <f t="shared" si="3"/>
        <v>2713</v>
      </c>
      <c r="N50" s="13">
        <f t="shared" si="4"/>
        <v>2961</v>
      </c>
      <c r="O50" s="7">
        <f t="shared" si="5"/>
        <v>0.09141172134</v>
      </c>
      <c r="Q50" s="7">
        <f t="shared" si="6"/>
        <v>0.3621662279</v>
      </c>
      <c r="R50" s="7">
        <f t="shared" si="7"/>
        <v>0.02030838661</v>
      </c>
      <c r="S50" s="13" t="b">
        <f t="shared" si="8"/>
        <v>0</v>
      </c>
      <c r="T50" s="13">
        <f t="shared" si="9"/>
        <v>3600</v>
      </c>
      <c r="U50" s="7">
        <f t="shared" si="10"/>
        <v>0.09141172134</v>
      </c>
      <c r="V50" s="7">
        <f t="shared" si="11"/>
        <v>0</v>
      </c>
      <c r="W50" s="13" t="b">
        <f t="shared" si="12"/>
        <v>1</v>
      </c>
      <c r="X50" s="13">
        <f t="shared" si="13"/>
        <v>3600</v>
      </c>
      <c r="Y50" s="7">
        <f t="shared" si="14"/>
        <v>0</v>
      </c>
      <c r="Z50" s="7">
        <f t="shared" si="15"/>
        <v>0.0002212063118</v>
      </c>
      <c r="AA50" s="13" t="b">
        <f t="shared" si="16"/>
        <v>1</v>
      </c>
      <c r="AB50" s="13">
        <f t="shared" si="17"/>
        <v>228.28</v>
      </c>
    </row>
    <row r="51">
      <c r="A51" s="1" t="s">
        <v>56</v>
      </c>
      <c r="B51" s="12">
        <v>3722.0</v>
      </c>
      <c r="C51" s="12">
        <v>3748.0</v>
      </c>
      <c r="D51" s="7">
        <f t="shared" si="1"/>
        <v>0.006985491671</v>
      </c>
      <c r="E51" s="9">
        <v>3600.0</v>
      </c>
      <c r="F51" s="9">
        <v>3741.0</v>
      </c>
      <c r="G51" s="9">
        <v>3747.0</v>
      </c>
      <c r="H51" s="7">
        <f t="shared" si="2"/>
        <v>0.001603849238</v>
      </c>
      <c r="I51" s="9">
        <v>3600.0</v>
      </c>
      <c r="J51" s="9">
        <v>3741.0</v>
      </c>
      <c r="K51" s="9">
        <v>3736.8</v>
      </c>
      <c r="L51" s="9">
        <v>684.55</v>
      </c>
      <c r="M51" s="13">
        <f t="shared" si="3"/>
        <v>3741</v>
      </c>
      <c r="N51" s="13">
        <f t="shared" si="4"/>
        <v>3747</v>
      </c>
      <c r="O51" s="7">
        <f t="shared" si="5"/>
        <v>0.001603849238</v>
      </c>
      <c r="Q51" s="7">
        <f t="shared" si="6"/>
        <v>0.006985491671</v>
      </c>
      <c r="R51" s="7">
        <f t="shared" si="7"/>
        <v>0.005104782375</v>
      </c>
      <c r="S51" s="13" t="b">
        <f t="shared" si="8"/>
        <v>0</v>
      </c>
      <c r="T51" s="13">
        <f t="shared" si="9"/>
        <v>3600</v>
      </c>
      <c r="U51" s="7">
        <f t="shared" si="10"/>
        <v>0.001603849238</v>
      </c>
      <c r="V51" s="7">
        <f t="shared" si="11"/>
        <v>0</v>
      </c>
      <c r="W51" s="13" t="b">
        <f t="shared" si="12"/>
        <v>1</v>
      </c>
      <c r="X51" s="13">
        <f t="shared" si="13"/>
        <v>3600</v>
      </c>
      <c r="Y51" s="7">
        <f t="shared" si="14"/>
        <v>0</v>
      </c>
      <c r="Z51" s="7">
        <f t="shared" si="15"/>
        <v>0.001123956326</v>
      </c>
      <c r="AA51" s="13" t="b">
        <f t="shared" si="16"/>
        <v>1</v>
      </c>
      <c r="AB51" s="13">
        <f t="shared" si="17"/>
        <v>684.55</v>
      </c>
    </row>
    <row r="52">
      <c r="A52" s="1" t="s">
        <v>57</v>
      </c>
      <c r="B52" s="12">
        <v>3235.0</v>
      </c>
      <c r="C52" s="12">
        <v>3728.0</v>
      </c>
      <c r="D52" s="7">
        <f t="shared" si="1"/>
        <v>0.1523956723</v>
      </c>
      <c r="E52" s="9">
        <v>3600.0</v>
      </c>
      <c r="F52" s="9">
        <v>3158.0</v>
      </c>
      <c r="G52" s="9">
        <v>3455.0</v>
      </c>
      <c r="H52" s="7">
        <f t="shared" si="2"/>
        <v>0.0940468651</v>
      </c>
      <c r="I52" s="9">
        <v>3600.0</v>
      </c>
      <c r="J52" s="9">
        <v>3276.0</v>
      </c>
      <c r="K52" s="9">
        <v>3276.0</v>
      </c>
      <c r="L52" s="9">
        <v>101.76</v>
      </c>
      <c r="M52" s="13">
        <f t="shared" si="3"/>
        <v>3276</v>
      </c>
      <c r="N52" s="13">
        <f t="shared" si="4"/>
        <v>3455</v>
      </c>
      <c r="O52" s="7">
        <f t="shared" si="5"/>
        <v>0.05463980464</v>
      </c>
      <c r="Q52" s="7">
        <f t="shared" si="6"/>
        <v>0.1523956723</v>
      </c>
      <c r="R52" s="7">
        <f t="shared" si="7"/>
        <v>0.01267387944</v>
      </c>
      <c r="S52" s="13" t="b">
        <f t="shared" si="8"/>
        <v>0</v>
      </c>
      <c r="T52" s="13">
        <f t="shared" si="9"/>
        <v>3600</v>
      </c>
      <c r="U52" s="7">
        <f t="shared" si="10"/>
        <v>0.0940468651</v>
      </c>
      <c r="V52" s="7">
        <f t="shared" si="11"/>
        <v>0.03736542115</v>
      </c>
      <c r="W52" s="13" t="b">
        <f t="shared" si="12"/>
        <v>0</v>
      </c>
      <c r="X52" s="13">
        <f t="shared" si="13"/>
        <v>3600</v>
      </c>
      <c r="Y52" s="7">
        <f t="shared" si="14"/>
        <v>0</v>
      </c>
      <c r="Z52" s="7">
        <f t="shared" si="15"/>
        <v>0</v>
      </c>
      <c r="AA52" s="13" t="b">
        <f t="shared" si="16"/>
        <v>1</v>
      </c>
      <c r="AB52" s="13">
        <f t="shared" si="17"/>
        <v>101.76</v>
      </c>
    </row>
    <row r="53">
      <c r="A53" s="1" t="s">
        <v>58</v>
      </c>
      <c r="B53" s="12">
        <v>3138.0</v>
      </c>
      <c r="C53" s="12">
        <v>4251.0</v>
      </c>
      <c r="D53" s="7">
        <f t="shared" si="1"/>
        <v>0.3546845124</v>
      </c>
      <c r="E53" s="9">
        <v>3600.0</v>
      </c>
      <c r="F53" s="9">
        <v>3180.0</v>
      </c>
      <c r="G53" s="9">
        <v>3792.0</v>
      </c>
      <c r="H53" s="7">
        <f t="shared" si="2"/>
        <v>0.1924528302</v>
      </c>
      <c r="I53" s="9">
        <v>3600.0</v>
      </c>
      <c r="J53" s="9">
        <v>3180.0</v>
      </c>
      <c r="K53" s="9">
        <v>3180.0</v>
      </c>
      <c r="L53" s="9">
        <v>49.89</v>
      </c>
      <c r="M53" s="13">
        <f t="shared" si="3"/>
        <v>3180</v>
      </c>
      <c r="N53" s="13">
        <f t="shared" si="4"/>
        <v>3792</v>
      </c>
      <c r="O53" s="7">
        <f t="shared" si="5"/>
        <v>0.1924528302</v>
      </c>
      <c r="Q53" s="7">
        <f t="shared" si="6"/>
        <v>0.3546845124</v>
      </c>
      <c r="R53" s="7">
        <f t="shared" si="7"/>
        <v>0.01338432122</v>
      </c>
      <c r="S53" s="13" t="b">
        <f t="shared" si="8"/>
        <v>0</v>
      </c>
      <c r="T53" s="13">
        <f t="shared" si="9"/>
        <v>3600</v>
      </c>
      <c r="U53" s="7">
        <f t="shared" si="10"/>
        <v>0.1924528302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49.89</v>
      </c>
    </row>
    <row r="54">
      <c r="A54" s="1" t="s">
        <v>59</v>
      </c>
      <c r="B54" s="12">
        <v>3275.0</v>
      </c>
      <c r="C54" s="12">
        <v>3524.0</v>
      </c>
      <c r="D54" s="7">
        <f t="shared" si="1"/>
        <v>0.07603053435</v>
      </c>
      <c r="E54" s="9">
        <v>3600.0</v>
      </c>
      <c r="F54" s="9">
        <v>3302.0</v>
      </c>
      <c r="G54" s="9">
        <v>3444.0</v>
      </c>
      <c r="H54" s="7">
        <f t="shared" si="2"/>
        <v>0.04300423985</v>
      </c>
      <c r="I54" s="9">
        <v>3600.0</v>
      </c>
      <c r="J54" s="9">
        <v>3387.0</v>
      </c>
      <c r="K54" s="9">
        <v>3373.2</v>
      </c>
      <c r="L54" s="9">
        <v>222.28</v>
      </c>
      <c r="M54" s="13">
        <f t="shared" si="3"/>
        <v>3387</v>
      </c>
      <c r="N54" s="13">
        <f t="shared" si="4"/>
        <v>3444</v>
      </c>
      <c r="O54" s="7">
        <f t="shared" si="5"/>
        <v>0.01682905226</v>
      </c>
      <c r="Q54" s="7">
        <f t="shared" si="6"/>
        <v>0.07603053435</v>
      </c>
      <c r="R54" s="7">
        <f t="shared" si="7"/>
        <v>0.03419847328</v>
      </c>
      <c r="S54" s="13" t="b">
        <f t="shared" si="8"/>
        <v>0</v>
      </c>
      <c r="T54" s="13">
        <f t="shared" si="9"/>
        <v>3600</v>
      </c>
      <c r="U54" s="7">
        <f t="shared" si="10"/>
        <v>0.04300423985</v>
      </c>
      <c r="V54" s="7">
        <f t="shared" si="11"/>
        <v>0.02574197456</v>
      </c>
      <c r="W54" s="13" t="b">
        <f t="shared" si="12"/>
        <v>0</v>
      </c>
      <c r="X54" s="13">
        <f t="shared" si="13"/>
        <v>3600</v>
      </c>
      <c r="Y54" s="7">
        <f t="shared" si="14"/>
        <v>0</v>
      </c>
      <c r="Z54" s="7">
        <f t="shared" si="15"/>
        <v>0.004091070793</v>
      </c>
      <c r="AA54" s="13" t="b">
        <f t="shared" si="16"/>
        <v>1</v>
      </c>
      <c r="AB54" s="13">
        <f t="shared" si="17"/>
        <v>222.28</v>
      </c>
    </row>
    <row r="55">
      <c r="A55" s="1" t="s">
        <v>60</v>
      </c>
      <c r="B55" s="12">
        <v>3206.0</v>
      </c>
      <c r="C55" s="12">
        <v>3644.0</v>
      </c>
      <c r="D55" s="7">
        <f t="shared" si="1"/>
        <v>0.1366188397</v>
      </c>
      <c r="E55" s="9">
        <v>3600.0</v>
      </c>
      <c r="F55" s="9">
        <v>3294.0</v>
      </c>
      <c r="G55" s="9">
        <v>3451.0</v>
      </c>
      <c r="H55" s="7">
        <f t="shared" si="2"/>
        <v>0.04766241651</v>
      </c>
      <c r="I55" s="9">
        <v>3600.0</v>
      </c>
      <c r="J55" s="9">
        <v>3405.0</v>
      </c>
      <c r="K55" s="9">
        <v>3398.0</v>
      </c>
      <c r="L55" s="9">
        <v>444.95</v>
      </c>
      <c r="M55" s="13">
        <f t="shared" si="3"/>
        <v>3405</v>
      </c>
      <c r="N55" s="13">
        <f t="shared" si="4"/>
        <v>3451</v>
      </c>
      <c r="O55" s="7">
        <f t="shared" si="5"/>
        <v>0.01350954479</v>
      </c>
      <c r="Q55" s="7">
        <f t="shared" si="6"/>
        <v>0.1366188397</v>
      </c>
      <c r="R55" s="7">
        <f t="shared" si="7"/>
        <v>0.06207111666</v>
      </c>
      <c r="S55" s="13" t="b">
        <f t="shared" si="8"/>
        <v>0</v>
      </c>
      <c r="T55" s="13">
        <f t="shared" si="9"/>
        <v>3600</v>
      </c>
      <c r="U55" s="7">
        <f t="shared" si="10"/>
        <v>0.04766241651</v>
      </c>
      <c r="V55" s="7">
        <f t="shared" si="11"/>
        <v>0.03369763206</v>
      </c>
      <c r="W55" s="13" t="b">
        <f t="shared" si="12"/>
        <v>0</v>
      </c>
      <c r="X55" s="13">
        <f t="shared" si="13"/>
        <v>3600</v>
      </c>
      <c r="Y55" s="7">
        <f t="shared" si="14"/>
        <v>0</v>
      </c>
      <c r="Z55" s="7">
        <f t="shared" si="15"/>
        <v>0.002060035315</v>
      </c>
      <c r="AA55" s="13" t="b">
        <f t="shared" si="16"/>
        <v>1</v>
      </c>
      <c r="AB55" s="13">
        <f t="shared" si="17"/>
        <v>444.95</v>
      </c>
    </row>
    <row r="56">
      <c r="A56" s="1" t="s">
        <v>61</v>
      </c>
      <c r="B56" s="12">
        <v>3377.0</v>
      </c>
      <c r="C56" s="12">
        <v>4370.0</v>
      </c>
      <c r="D56" s="7">
        <f t="shared" si="1"/>
        <v>0.2940479716</v>
      </c>
      <c r="E56" s="9">
        <v>3600.0</v>
      </c>
      <c r="F56" s="9">
        <v>3474.0</v>
      </c>
      <c r="G56" s="9">
        <v>4360.0</v>
      </c>
      <c r="H56" s="7">
        <f t="shared" si="2"/>
        <v>0.2550374208</v>
      </c>
      <c r="I56" s="9">
        <v>3600.0</v>
      </c>
      <c r="J56" s="9">
        <v>3543.0</v>
      </c>
      <c r="K56" s="9">
        <v>3526.1</v>
      </c>
      <c r="L56" s="9">
        <v>118.76</v>
      </c>
      <c r="M56" s="13">
        <f t="shared" si="3"/>
        <v>3543</v>
      </c>
      <c r="N56" s="13">
        <f t="shared" si="4"/>
        <v>4360</v>
      </c>
      <c r="O56" s="7">
        <f t="shared" si="5"/>
        <v>0.2305955405</v>
      </c>
      <c r="Q56" s="7">
        <f t="shared" si="6"/>
        <v>0.2940479716</v>
      </c>
      <c r="R56" s="7">
        <f t="shared" si="7"/>
        <v>0.04915605567</v>
      </c>
      <c r="S56" s="13" t="b">
        <f t="shared" si="8"/>
        <v>0</v>
      </c>
      <c r="T56" s="13">
        <f t="shared" si="9"/>
        <v>3600</v>
      </c>
      <c r="U56" s="7">
        <f t="shared" si="10"/>
        <v>0.2550374208</v>
      </c>
      <c r="V56" s="7">
        <f t="shared" si="11"/>
        <v>0.01986183074</v>
      </c>
      <c r="W56" s="13" t="b">
        <f t="shared" si="12"/>
        <v>0</v>
      </c>
      <c r="X56" s="13">
        <f t="shared" si="13"/>
        <v>3600</v>
      </c>
      <c r="Y56" s="7">
        <f t="shared" si="14"/>
        <v>0</v>
      </c>
      <c r="Z56" s="7">
        <f t="shared" si="15"/>
        <v>0.004792830606</v>
      </c>
      <c r="AA56" s="13" t="b">
        <f t="shared" si="16"/>
        <v>1</v>
      </c>
      <c r="AB56" s="13">
        <f t="shared" si="17"/>
        <v>118.76</v>
      </c>
    </row>
    <row r="57">
      <c r="A57" s="1" t="s">
        <v>62</v>
      </c>
      <c r="B57" s="12">
        <v>4250.0</v>
      </c>
      <c r="C57" s="12">
        <v>4591.0</v>
      </c>
      <c r="D57" s="7">
        <f t="shared" si="1"/>
        <v>0.08023529412</v>
      </c>
      <c r="E57" s="9">
        <v>3600.0</v>
      </c>
      <c r="F57" s="9">
        <v>4514.0</v>
      </c>
      <c r="G57" s="9">
        <v>4537.0</v>
      </c>
      <c r="H57" s="7">
        <f t="shared" si="2"/>
        <v>0.005095259194</v>
      </c>
      <c r="I57" s="9">
        <v>3600.0</v>
      </c>
      <c r="J57" s="9">
        <v>4537.0</v>
      </c>
      <c r="K57" s="9">
        <v>4524.5</v>
      </c>
      <c r="L57" s="9">
        <v>327.11</v>
      </c>
      <c r="M57" s="13">
        <f t="shared" si="3"/>
        <v>4537</v>
      </c>
      <c r="N57" s="13">
        <f t="shared" si="4"/>
        <v>4537</v>
      </c>
      <c r="O57" s="7">
        <f t="shared" si="5"/>
        <v>0</v>
      </c>
      <c r="Q57" s="7">
        <f t="shared" si="6"/>
        <v>0.08023529412</v>
      </c>
      <c r="R57" s="7">
        <f t="shared" si="7"/>
        <v>0.06752941176</v>
      </c>
      <c r="S57" s="13" t="b">
        <f t="shared" si="8"/>
        <v>0</v>
      </c>
      <c r="T57" s="13">
        <f t="shared" si="9"/>
        <v>3600</v>
      </c>
      <c r="U57" s="7">
        <f t="shared" si="10"/>
        <v>0.005095259194</v>
      </c>
      <c r="V57" s="7">
        <f t="shared" si="11"/>
        <v>0.005095259194</v>
      </c>
      <c r="W57" s="13" t="b">
        <f t="shared" si="12"/>
        <v>0</v>
      </c>
      <c r="X57" s="13">
        <f t="shared" si="13"/>
        <v>3600</v>
      </c>
      <c r="Y57" s="7">
        <f t="shared" si="14"/>
        <v>0</v>
      </c>
      <c r="Z57" s="7">
        <f t="shared" si="15"/>
        <v>0.002762736214</v>
      </c>
      <c r="AA57" s="13" t="b">
        <f t="shared" si="16"/>
        <v>1</v>
      </c>
      <c r="AB57" s="13">
        <f t="shared" si="17"/>
        <v>327.11</v>
      </c>
    </row>
    <row r="58">
      <c r="A58" s="1" t="s">
        <v>63</v>
      </c>
      <c r="B58" s="12">
        <v>4502.0</v>
      </c>
      <c r="C58" s="12">
        <v>4931.0</v>
      </c>
      <c r="D58" s="7">
        <f t="shared" si="1"/>
        <v>0.09529098179</v>
      </c>
      <c r="E58" s="9">
        <v>3600.0</v>
      </c>
      <c r="F58" s="9">
        <v>4864.0</v>
      </c>
      <c r="G58" s="9">
        <v>4864.0</v>
      </c>
      <c r="H58" s="7">
        <f t="shared" si="2"/>
        <v>0</v>
      </c>
      <c r="I58" s="9">
        <v>2358.34</v>
      </c>
      <c r="J58" s="9">
        <v>4858.0</v>
      </c>
      <c r="K58" s="9">
        <v>4840.8</v>
      </c>
      <c r="L58" s="9">
        <v>537.95</v>
      </c>
      <c r="M58" s="13">
        <f t="shared" si="3"/>
        <v>4864</v>
      </c>
      <c r="N58" s="13">
        <f t="shared" si="4"/>
        <v>4864</v>
      </c>
      <c r="O58" s="7">
        <f t="shared" si="5"/>
        <v>0</v>
      </c>
      <c r="Q58" s="7">
        <f t="shared" si="6"/>
        <v>0.09529098179</v>
      </c>
      <c r="R58" s="7">
        <f t="shared" si="7"/>
        <v>0.08040870724</v>
      </c>
      <c r="S58" s="13" t="b">
        <f t="shared" si="8"/>
        <v>0</v>
      </c>
      <c r="T58" s="13">
        <f t="shared" si="9"/>
        <v>3600</v>
      </c>
      <c r="U58" s="7">
        <f t="shared" si="10"/>
        <v>0</v>
      </c>
      <c r="V58" s="7">
        <f t="shared" si="11"/>
        <v>0</v>
      </c>
      <c r="W58" s="13" t="b">
        <f t="shared" si="12"/>
        <v>1</v>
      </c>
      <c r="X58" s="13">
        <f t="shared" si="13"/>
        <v>2358.34</v>
      </c>
      <c r="Y58" s="7">
        <f t="shared" si="14"/>
        <v>0.001235076163</v>
      </c>
      <c r="Z58" s="7">
        <f t="shared" si="15"/>
        <v>0.004792596265</v>
      </c>
      <c r="AA58" s="13" t="b">
        <f t="shared" si="16"/>
        <v>0</v>
      </c>
      <c r="AB58" s="13">
        <f t="shared" si="17"/>
        <v>537.95</v>
      </c>
    </row>
    <row r="59">
      <c r="A59" s="1" t="s">
        <v>64</v>
      </c>
      <c r="B59" s="12">
        <v>2683.0</v>
      </c>
      <c r="C59" s="12">
        <v>4995.0</v>
      </c>
      <c r="D59" s="7">
        <f t="shared" si="1"/>
        <v>0.861721953</v>
      </c>
      <c r="E59" s="9">
        <v>3600.0</v>
      </c>
      <c r="F59" s="9">
        <v>2855.0</v>
      </c>
      <c r="G59" s="9">
        <v>4464.0</v>
      </c>
      <c r="H59" s="7">
        <f t="shared" si="2"/>
        <v>0.5635726795</v>
      </c>
      <c r="I59" s="9">
        <v>3600.0</v>
      </c>
      <c r="J59" s="9">
        <v>2855.0</v>
      </c>
      <c r="K59" s="9">
        <v>2855.0</v>
      </c>
      <c r="L59" s="9">
        <v>40.98</v>
      </c>
      <c r="M59" s="13">
        <f t="shared" si="3"/>
        <v>2855</v>
      </c>
      <c r="N59" s="13">
        <f t="shared" si="4"/>
        <v>4464</v>
      </c>
      <c r="O59" s="7">
        <f t="shared" si="5"/>
        <v>0.5635726795</v>
      </c>
      <c r="Q59" s="7">
        <f t="shared" si="6"/>
        <v>0.861721953</v>
      </c>
      <c r="R59" s="7">
        <f t="shared" si="7"/>
        <v>0.06410734253</v>
      </c>
      <c r="S59" s="13" t="b">
        <f t="shared" si="8"/>
        <v>0</v>
      </c>
      <c r="T59" s="13">
        <f t="shared" si="9"/>
        <v>3600</v>
      </c>
      <c r="U59" s="7">
        <f t="shared" si="10"/>
        <v>0.5635726795</v>
      </c>
      <c r="V59" s="7">
        <f t="shared" si="11"/>
        <v>0</v>
      </c>
      <c r="W59" s="13" t="b">
        <f t="shared" si="12"/>
        <v>1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40.98</v>
      </c>
    </row>
    <row r="60">
      <c r="A60" s="1" t="s">
        <v>65</v>
      </c>
      <c r="B60" s="12">
        <v>2985.0</v>
      </c>
      <c r="C60" s="12">
        <v>3702.0</v>
      </c>
      <c r="D60" s="7">
        <f t="shared" si="1"/>
        <v>0.240201005</v>
      </c>
      <c r="E60" s="9">
        <v>3600.0</v>
      </c>
      <c r="F60" s="9">
        <v>3391.0</v>
      </c>
      <c r="G60" s="9">
        <v>3598.0</v>
      </c>
      <c r="H60" s="7">
        <f t="shared" si="2"/>
        <v>0.06104393984</v>
      </c>
      <c r="I60" s="9">
        <v>3600.0</v>
      </c>
      <c r="J60" s="9">
        <v>3419.0</v>
      </c>
      <c r="K60" s="9">
        <v>3415.5</v>
      </c>
      <c r="L60" s="9">
        <v>285.22</v>
      </c>
      <c r="M60" s="13">
        <f t="shared" si="3"/>
        <v>3419</v>
      </c>
      <c r="N60" s="13">
        <f t="shared" si="4"/>
        <v>3598</v>
      </c>
      <c r="O60" s="7">
        <f t="shared" si="5"/>
        <v>0.05235448962</v>
      </c>
      <c r="Q60" s="7">
        <f t="shared" si="6"/>
        <v>0.240201005</v>
      </c>
      <c r="R60" s="7">
        <f t="shared" si="7"/>
        <v>0.1453936348</v>
      </c>
      <c r="S60" s="13" t="b">
        <f t="shared" si="8"/>
        <v>0</v>
      </c>
      <c r="T60" s="13">
        <f t="shared" si="9"/>
        <v>3600</v>
      </c>
      <c r="U60" s="7">
        <f t="shared" si="10"/>
        <v>0.06104393984</v>
      </c>
      <c r="V60" s="7">
        <f t="shared" si="11"/>
        <v>0.008257151283</v>
      </c>
      <c r="W60" s="13" t="b">
        <f t="shared" si="12"/>
        <v>0</v>
      </c>
      <c r="X60" s="13">
        <f t="shared" si="13"/>
        <v>3600</v>
      </c>
      <c r="Y60" s="7">
        <f t="shared" si="14"/>
        <v>0</v>
      </c>
      <c r="Z60" s="7">
        <f t="shared" si="15"/>
        <v>0.001024740155</v>
      </c>
      <c r="AA60" s="13" t="b">
        <f t="shared" si="16"/>
        <v>1</v>
      </c>
      <c r="AB60" s="13">
        <f t="shared" si="17"/>
        <v>285.22</v>
      </c>
    </row>
    <row r="61">
      <c r="A61" s="1" t="s">
        <v>66</v>
      </c>
      <c r="B61" s="12">
        <v>5310.0</v>
      </c>
      <c r="C61" s="12">
        <v>6843.0</v>
      </c>
      <c r="D61" s="7">
        <f t="shared" si="1"/>
        <v>0.288700565</v>
      </c>
      <c r="E61" s="9">
        <v>3600.0</v>
      </c>
      <c r="F61" s="9">
        <v>5358.0</v>
      </c>
      <c r="G61" s="9">
        <v>5743.0</v>
      </c>
      <c r="H61" s="7">
        <f t="shared" si="2"/>
        <v>0.07185516984</v>
      </c>
      <c r="I61" s="9">
        <v>3600.0</v>
      </c>
      <c r="J61" s="9">
        <v>5358.0</v>
      </c>
      <c r="K61" s="9">
        <v>5358.0</v>
      </c>
      <c r="L61" s="9">
        <v>66.61</v>
      </c>
      <c r="M61" s="13">
        <f t="shared" si="3"/>
        <v>5358</v>
      </c>
      <c r="N61" s="13">
        <f t="shared" si="4"/>
        <v>5743</v>
      </c>
      <c r="O61" s="7">
        <f t="shared" si="5"/>
        <v>0.07185516984</v>
      </c>
      <c r="Q61" s="7">
        <f t="shared" si="6"/>
        <v>0.288700565</v>
      </c>
      <c r="R61" s="7">
        <f t="shared" si="7"/>
        <v>0.009039548023</v>
      </c>
      <c r="S61" s="13" t="b">
        <f t="shared" si="8"/>
        <v>0</v>
      </c>
      <c r="T61" s="13">
        <f t="shared" si="9"/>
        <v>3600</v>
      </c>
      <c r="U61" s="7">
        <f t="shared" si="10"/>
        <v>0.07185516984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</v>
      </c>
      <c r="AA61" s="13" t="b">
        <f t="shared" si="16"/>
        <v>1</v>
      </c>
      <c r="AB61" s="13">
        <f t="shared" si="17"/>
        <v>66.61</v>
      </c>
    </row>
    <row r="62">
      <c r="A62" s="1" t="s">
        <v>67</v>
      </c>
      <c r="B62" s="12">
        <v>3808.0</v>
      </c>
      <c r="C62" s="12">
        <v>4270.0</v>
      </c>
      <c r="D62" s="7">
        <f t="shared" si="1"/>
        <v>0.1213235294</v>
      </c>
      <c r="E62" s="9">
        <v>3600.0</v>
      </c>
      <c r="F62" s="9">
        <v>4001.0</v>
      </c>
      <c r="G62" s="9">
        <v>4001.0</v>
      </c>
      <c r="H62" s="7">
        <f t="shared" si="2"/>
        <v>0</v>
      </c>
      <c r="I62" s="9">
        <v>2642.22</v>
      </c>
      <c r="J62" s="9">
        <v>3999.0</v>
      </c>
      <c r="K62" s="9">
        <v>3992.9</v>
      </c>
      <c r="L62" s="9">
        <v>288.65</v>
      </c>
      <c r="M62" s="13">
        <f t="shared" si="3"/>
        <v>4001</v>
      </c>
      <c r="N62" s="13">
        <f t="shared" si="4"/>
        <v>4001</v>
      </c>
      <c r="O62" s="7">
        <f t="shared" si="5"/>
        <v>0</v>
      </c>
      <c r="Q62" s="7">
        <f t="shared" si="6"/>
        <v>0.1213235294</v>
      </c>
      <c r="R62" s="7">
        <f t="shared" si="7"/>
        <v>0.05068277311</v>
      </c>
      <c r="S62" s="13" t="b">
        <f t="shared" si="8"/>
        <v>0</v>
      </c>
      <c r="T62" s="13">
        <f t="shared" si="9"/>
        <v>3600</v>
      </c>
      <c r="U62" s="7">
        <f t="shared" si="10"/>
        <v>0</v>
      </c>
      <c r="V62" s="7">
        <f t="shared" si="11"/>
        <v>0</v>
      </c>
      <c r="W62" s="13" t="b">
        <f t="shared" si="12"/>
        <v>1</v>
      </c>
      <c r="X62" s="13">
        <f t="shared" si="13"/>
        <v>2642.22</v>
      </c>
      <c r="Y62" s="7">
        <f t="shared" si="14"/>
        <v>0.0005001250313</v>
      </c>
      <c r="Z62" s="7">
        <f t="shared" si="15"/>
        <v>0.002028600766</v>
      </c>
      <c r="AA62" s="13" t="b">
        <f t="shared" si="16"/>
        <v>0</v>
      </c>
      <c r="AB62" s="13">
        <f t="shared" si="17"/>
        <v>288.65</v>
      </c>
      <c r="AD62" s="7">
        <f t="shared" ref="AD62:AE62" si="21">AVERAGE(Q33:Q62)</f>
        <v>0.1432934976</v>
      </c>
      <c r="AE62" s="7">
        <f t="shared" si="21"/>
        <v>0.02509879159</v>
      </c>
      <c r="AF62" s="13">
        <f>COUNTIF(S33:S62, "TRUE")</f>
        <v>7</v>
      </c>
      <c r="AG62" s="13">
        <f>COUNTIF(Q33:Q62,"=0")</f>
        <v>2</v>
      </c>
      <c r="AH62" s="13">
        <f t="shared" ref="AH62:AJ62" si="22">AVERAGE(T33:T62)</f>
        <v>3491.663333</v>
      </c>
      <c r="AI62" s="7">
        <f t="shared" si="22"/>
        <v>0.05025741792</v>
      </c>
      <c r="AJ62" s="7">
        <f t="shared" si="22"/>
        <v>0.004355234136</v>
      </c>
      <c r="AK62" s="13">
        <f>COUNTIF(W33:W62, "TRUE")</f>
        <v>23</v>
      </c>
      <c r="AL62" s="13">
        <f>COUNTIF(U33:U62,"=0")</f>
        <v>13</v>
      </c>
      <c r="AM62" s="13">
        <f t="shared" ref="AM62:AO62" si="23">AVERAGE(X33:X62)</f>
        <v>2598.525667</v>
      </c>
      <c r="AN62" s="7">
        <f t="shared" si="23"/>
        <v>0.00005784003981</v>
      </c>
      <c r="AO62" s="7">
        <f t="shared" si="23"/>
        <v>0.0008364241653</v>
      </c>
      <c r="AP62" s="13">
        <f>COUNTIF(AA33:AA62, "TRUE")</f>
        <v>28</v>
      </c>
      <c r="AQ62" s="13">
        <f>AVERAGE(AB33:AB62)</f>
        <v>153.8803333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68</v>
      </c>
      <c r="B1" s="10" t="s">
        <v>69</v>
      </c>
      <c r="C1" s="10"/>
      <c r="D1" s="9"/>
      <c r="E1" s="10"/>
      <c r="F1" s="9" t="s">
        <v>70</v>
      </c>
      <c r="G1" s="9"/>
      <c r="H1" s="9"/>
      <c r="I1" s="9"/>
      <c r="J1" s="9" t="s">
        <v>71</v>
      </c>
      <c r="K1" s="9"/>
      <c r="L1" s="9"/>
      <c r="M1" s="9" t="s">
        <v>72</v>
      </c>
      <c r="Q1" s="9" t="s">
        <v>1</v>
      </c>
      <c r="U1" s="9" t="s">
        <v>73</v>
      </c>
      <c r="Y1" s="9" t="s">
        <v>71</v>
      </c>
      <c r="Z1" s="7"/>
    </row>
    <row r="2">
      <c r="A2" s="9"/>
      <c r="B2" s="9" t="s">
        <v>5</v>
      </c>
      <c r="C2" s="9" t="s">
        <v>4</v>
      </c>
      <c r="D2" s="11" t="s">
        <v>6</v>
      </c>
      <c r="E2" s="9" t="s">
        <v>7</v>
      </c>
      <c r="F2" s="9" t="s">
        <v>5</v>
      </c>
      <c r="G2" s="9" t="s">
        <v>4</v>
      </c>
      <c r="H2" s="11" t="s">
        <v>6</v>
      </c>
      <c r="I2" s="9" t="s">
        <v>7</v>
      </c>
      <c r="J2" s="9" t="s">
        <v>5</v>
      </c>
      <c r="K2" s="9" t="s">
        <v>74</v>
      </c>
      <c r="L2" s="9" t="s">
        <v>7</v>
      </c>
      <c r="M2" s="9" t="s">
        <v>5</v>
      </c>
      <c r="N2" s="9" t="s">
        <v>4</v>
      </c>
      <c r="O2" s="9" t="s">
        <v>6</v>
      </c>
      <c r="Q2" s="9" t="s">
        <v>6</v>
      </c>
      <c r="R2" s="9" t="s">
        <v>75</v>
      </c>
      <c r="S2" s="9" t="s">
        <v>76</v>
      </c>
      <c r="T2" s="9" t="s">
        <v>7</v>
      </c>
      <c r="U2" s="9" t="s">
        <v>6</v>
      </c>
      <c r="V2" s="9" t="s">
        <v>75</v>
      </c>
      <c r="W2" s="9" t="s">
        <v>76</v>
      </c>
      <c r="X2" s="9" t="s">
        <v>7</v>
      </c>
      <c r="Y2" s="9" t="s">
        <v>75</v>
      </c>
      <c r="Z2" s="11" t="s">
        <v>77</v>
      </c>
      <c r="AA2" s="9" t="s">
        <v>76</v>
      </c>
      <c r="AB2" s="9" t="s">
        <v>7</v>
      </c>
    </row>
    <row r="3">
      <c r="A3" s="1" t="s">
        <v>8</v>
      </c>
      <c r="B3" s="12">
        <v>399.0</v>
      </c>
      <c r="C3" s="12">
        <v>399.0</v>
      </c>
      <c r="D3" s="7">
        <f t="shared" ref="D3:D62" si="1">(C3-B3)/B3</f>
        <v>0</v>
      </c>
      <c r="E3" s="9">
        <v>4.39</v>
      </c>
      <c r="F3" s="9">
        <v>399.0</v>
      </c>
      <c r="G3" s="9">
        <v>399.0</v>
      </c>
      <c r="H3" s="7">
        <f t="shared" ref="H3:H62" si="2">(G3-F3)/F3</f>
        <v>0</v>
      </c>
      <c r="I3" s="9">
        <v>0.12</v>
      </c>
      <c r="J3" s="9">
        <v>399.0</v>
      </c>
      <c r="K3" s="9">
        <v>399.0</v>
      </c>
      <c r="L3" s="9">
        <v>66.59</v>
      </c>
      <c r="M3" s="13">
        <f t="shared" ref="M3:M62" si="3">MAX(B3,F3,J3)</f>
        <v>399</v>
      </c>
      <c r="N3" s="13">
        <f t="shared" ref="N3:N62" si="4">MIN(C3,G3)</f>
        <v>399</v>
      </c>
      <c r="O3" s="7">
        <f t="shared" ref="O3:O62" si="5">(N3-M3)/M3</f>
        <v>0</v>
      </c>
      <c r="Q3" s="7">
        <f t="shared" ref="Q3:Q62" si="6">D3</f>
        <v>0</v>
      </c>
      <c r="R3" s="7">
        <f t="shared" ref="R3:R62" si="7">(M3-B3)/B3</f>
        <v>0</v>
      </c>
      <c r="S3" s="13" t="b">
        <f t="shared" ref="S3:S62" si="8">(B3=M3)</f>
        <v>1</v>
      </c>
      <c r="T3" s="13">
        <f t="shared" ref="T3:T62" si="9">E3</f>
        <v>4.39</v>
      </c>
      <c r="U3" s="7">
        <f t="shared" ref="U3:U62" si="10">H3</f>
        <v>0</v>
      </c>
      <c r="V3" s="7">
        <f t="shared" ref="V3:V62" si="11">(M3-F3)/F3</f>
        <v>0</v>
      </c>
      <c r="W3" s="13" t="b">
        <f t="shared" ref="W3:W62" si="12">F3=M3</f>
        <v>1</v>
      </c>
      <c r="X3" s="13">
        <f t="shared" ref="X3:X62" si="13">I3</f>
        <v>0.12</v>
      </c>
      <c r="Y3" s="7">
        <f t="shared" ref="Y3:Y62" si="14">(M3-J3)/J3</f>
        <v>0</v>
      </c>
      <c r="Z3" s="7">
        <f t="shared" ref="Z3:Z62" si="15">(M3-K3)/K3</f>
        <v>0</v>
      </c>
      <c r="AA3" s="13" t="b">
        <f t="shared" ref="AA3:AA62" si="16">M3=J3</f>
        <v>1</v>
      </c>
      <c r="AB3" s="13">
        <f t="shared" ref="AB3:AB62" si="17">L3</f>
        <v>66.59</v>
      </c>
    </row>
    <row r="4">
      <c r="A4" s="1" t="s">
        <v>9</v>
      </c>
      <c r="B4" s="12">
        <v>305.0</v>
      </c>
      <c r="C4" s="12">
        <v>305.0</v>
      </c>
      <c r="D4" s="7">
        <f t="shared" si="1"/>
        <v>0</v>
      </c>
      <c r="E4" s="9">
        <v>1.21</v>
      </c>
      <c r="F4" s="9">
        <v>305.0</v>
      </c>
      <c r="G4" s="9">
        <v>305.0</v>
      </c>
      <c r="H4" s="7">
        <f t="shared" si="2"/>
        <v>0</v>
      </c>
      <c r="I4" s="9">
        <v>0.33</v>
      </c>
      <c r="J4" s="9">
        <v>305.0</v>
      </c>
      <c r="K4" s="9">
        <v>305.0</v>
      </c>
      <c r="L4" s="9">
        <v>1.11</v>
      </c>
      <c r="M4" s="13">
        <f t="shared" si="3"/>
        <v>305</v>
      </c>
      <c r="N4" s="13">
        <f t="shared" si="4"/>
        <v>305</v>
      </c>
      <c r="O4" s="7">
        <f t="shared" si="5"/>
        <v>0</v>
      </c>
      <c r="Q4" s="7">
        <f t="shared" si="6"/>
        <v>0</v>
      </c>
      <c r="R4" s="7">
        <f t="shared" si="7"/>
        <v>0</v>
      </c>
      <c r="S4" s="13" t="b">
        <f t="shared" si="8"/>
        <v>1</v>
      </c>
      <c r="T4" s="13">
        <f t="shared" si="9"/>
        <v>1.21</v>
      </c>
      <c r="U4" s="7">
        <f t="shared" si="10"/>
        <v>0</v>
      </c>
      <c r="V4" s="7">
        <f t="shared" si="11"/>
        <v>0</v>
      </c>
      <c r="W4" s="13" t="b">
        <f t="shared" si="12"/>
        <v>1</v>
      </c>
      <c r="X4" s="13">
        <f t="shared" si="13"/>
        <v>0.33</v>
      </c>
      <c r="Y4" s="7">
        <f t="shared" si="14"/>
        <v>0</v>
      </c>
      <c r="Z4" s="7">
        <f t="shared" si="15"/>
        <v>0</v>
      </c>
      <c r="AA4" s="13" t="b">
        <f t="shared" si="16"/>
        <v>1</v>
      </c>
      <c r="AB4" s="13">
        <f t="shared" si="17"/>
        <v>1.11</v>
      </c>
    </row>
    <row r="5">
      <c r="A5" s="1" t="s">
        <v>10</v>
      </c>
      <c r="B5" s="12">
        <v>624.0</v>
      </c>
      <c r="C5" s="12">
        <v>624.0</v>
      </c>
      <c r="D5" s="7">
        <f t="shared" si="1"/>
        <v>0</v>
      </c>
      <c r="E5" s="9">
        <v>0.16</v>
      </c>
      <c r="F5" s="9">
        <v>624.0</v>
      </c>
      <c r="G5" s="9">
        <v>624.0</v>
      </c>
      <c r="H5" s="7">
        <f t="shared" si="2"/>
        <v>0</v>
      </c>
      <c r="I5" s="9">
        <v>0.09</v>
      </c>
      <c r="J5" s="9">
        <v>624.0</v>
      </c>
      <c r="K5" s="9">
        <v>624.0</v>
      </c>
      <c r="L5" s="9">
        <v>0.23</v>
      </c>
      <c r="M5" s="13">
        <f t="shared" si="3"/>
        <v>624</v>
      </c>
      <c r="N5" s="13">
        <f t="shared" si="4"/>
        <v>624</v>
      </c>
      <c r="O5" s="7">
        <f t="shared" si="5"/>
        <v>0</v>
      </c>
      <c r="Q5" s="7">
        <f t="shared" si="6"/>
        <v>0</v>
      </c>
      <c r="R5" s="7">
        <f t="shared" si="7"/>
        <v>0</v>
      </c>
      <c r="S5" s="13" t="b">
        <f t="shared" si="8"/>
        <v>1</v>
      </c>
      <c r="T5" s="13">
        <f t="shared" si="9"/>
        <v>0.16</v>
      </c>
      <c r="U5" s="7">
        <f t="shared" si="10"/>
        <v>0</v>
      </c>
      <c r="V5" s="7">
        <f t="shared" si="11"/>
        <v>0</v>
      </c>
      <c r="W5" s="13" t="b">
        <f t="shared" si="12"/>
        <v>1</v>
      </c>
      <c r="X5" s="13">
        <f t="shared" si="13"/>
        <v>0.09</v>
      </c>
      <c r="Y5" s="7">
        <f t="shared" si="14"/>
        <v>0</v>
      </c>
      <c r="Z5" s="7">
        <f t="shared" si="15"/>
        <v>0</v>
      </c>
      <c r="AA5" s="13" t="b">
        <f t="shared" si="16"/>
        <v>1</v>
      </c>
      <c r="AB5" s="13">
        <f t="shared" si="17"/>
        <v>0.23</v>
      </c>
    </row>
    <row r="6">
      <c r="A6" s="1" t="s">
        <v>11</v>
      </c>
      <c r="B6" s="12">
        <v>207.0</v>
      </c>
      <c r="C6" s="12">
        <v>207.0</v>
      </c>
      <c r="D6" s="7">
        <f t="shared" si="1"/>
        <v>0</v>
      </c>
      <c r="E6" s="9">
        <v>4.73</v>
      </c>
      <c r="F6" s="9">
        <v>207.0</v>
      </c>
      <c r="G6" s="9">
        <v>207.0</v>
      </c>
      <c r="H6" s="7">
        <f t="shared" si="2"/>
        <v>0</v>
      </c>
      <c r="I6" s="9">
        <v>0.94</v>
      </c>
      <c r="J6" s="9">
        <v>207.0</v>
      </c>
      <c r="K6" s="9">
        <v>207.0</v>
      </c>
      <c r="L6" s="9">
        <v>11.39</v>
      </c>
      <c r="M6" s="13">
        <f t="shared" si="3"/>
        <v>207</v>
      </c>
      <c r="N6" s="13">
        <f t="shared" si="4"/>
        <v>207</v>
      </c>
      <c r="O6" s="7">
        <f t="shared" si="5"/>
        <v>0</v>
      </c>
      <c r="Q6" s="7">
        <f t="shared" si="6"/>
        <v>0</v>
      </c>
      <c r="R6" s="7">
        <f t="shared" si="7"/>
        <v>0</v>
      </c>
      <c r="S6" s="13" t="b">
        <f t="shared" si="8"/>
        <v>1</v>
      </c>
      <c r="T6" s="13">
        <f t="shared" si="9"/>
        <v>4.73</v>
      </c>
      <c r="U6" s="7">
        <f t="shared" si="10"/>
        <v>0</v>
      </c>
      <c r="V6" s="7">
        <f t="shared" si="11"/>
        <v>0</v>
      </c>
      <c r="W6" s="13" t="b">
        <f t="shared" si="12"/>
        <v>1</v>
      </c>
      <c r="X6" s="13">
        <f t="shared" si="13"/>
        <v>0.94</v>
      </c>
      <c r="Y6" s="7">
        <f t="shared" si="14"/>
        <v>0</v>
      </c>
      <c r="Z6" s="7">
        <f t="shared" si="15"/>
        <v>0</v>
      </c>
      <c r="AA6" s="13" t="b">
        <f t="shared" si="16"/>
        <v>1</v>
      </c>
      <c r="AB6" s="13">
        <f t="shared" si="17"/>
        <v>11.39</v>
      </c>
    </row>
    <row r="7">
      <c r="A7" s="1" t="s">
        <v>12</v>
      </c>
      <c r="B7" s="12">
        <v>290.0</v>
      </c>
      <c r="C7" s="12">
        <v>290.0</v>
      </c>
      <c r="D7" s="7">
        <f t="shared" si="1"/>
        <v>0</v>
      </c>
      <c r="E7" s="9">
        <v>3109.35</v>
      </c>
      <c r="F7" s="9">
        <v>290.0</v>
      </c>
      <c r="G7" s="9">
        <v>290.0</v>
      </c>
      <c r="H7" s="7">
        <f t="shared" si="2"/>
        <v>0</v>
      </c>
      <c r="I7" s="9">
        <v>0.65</v>
      </c>
      <c r="J7" s="9">
        <v>290.0</v>
      </c>
      <c r="K7" s="9">
        <v>290.0</v>
      </c>
      <c r="L7" s="9">
        <v>18.72</v>
      </c>
      <c r="M7" s="13">
        <f t="shared" si="3"/>
        <v>290</v>
      </c>
      <c r="N7" s="13">
        <f t="shared" si="4"/>
        <v>290</v>
      </c>
      <c r="O7" s="7">
        <f t="shared" si="5"/>
        <v>0</v>
      </c>
      <c r="Q7" s="7">
        <f t="shared" si="6"/>
        <v>0</v>
      </c>
      <c r="R7" s="7">
        <f t="shared" si="7"/>
        <v>0</v>
      </c>
      <c r="S7" s="13" t="b">
        <f t="shared" si="8"/>
        <v>1</v>
      </c>
      <c r="T7" s="13">
        <f t="shared" si="9"/>
        <v>3109.35</v>
      </c>
      <c r="U7" s="7">
        <f t="shared" si="10"/>
        <v>0</v>
      </c>
      <c r="V7" s="7">
        <f t="shared" si="11"/>
        <v>0</v>
      </c>
      <c r="W7" s="13" t="b">
        <f t="shared" si="12"/>
        <v>1</v>
      </c>
      <c r="X7" s="13">
        <f t="shared" si="13"/>
        <v>0.65</v>
      </c>
      <c r="Y7" s="7">
        <f t="shared" si="14"/>
        <v>0</v>
      </c>
      <c r="Z7" s="7">
        <f t="shared" si="15"/>
        <v>0</v>
      </c>
      <c r="AA7" s="13" t="b">
        <f t="shared" si="16"/>
        <v>1</v>
      </c>
      <c r="AB7" s="13">
        <f t="shared" si="17"/>
        <v>18.72</v>
      </c>
    </row>
    <row r="8">
      <c r="A8" s="1" t="s">
        <v>13</v>
      </c>
      <c r="B8" s="12">
        <v>255.0</v>
      </c>
      <c r="C8" s="12">
        <v>255.0</v>
      </c>
      <c r="D8" s="7">
        <f t="shared" si="1"/>
        <v>0</v>
      </c>
      <c r="E8" s="9">
        <v>6.41</v>
      </c>
      <c r="F8" s="9">
        <v>255.0</v>
      </c>
      <c r="G8" s="9">
        <v>255.0</v>
      </c>
      <c r="H8" s="7">
        <f t="shared" si="2"/>
        <v>0</v>
      </c>
      <c r="I8" s="9">
        <v>0.71</v>
      </c>
      <c r="J8" s="9">
        <v>255.0</v>
      </c>
      <c r="K8" s="9">
        <v>255.0</v>
      </c>
      <c r="L8" s="9">
        <v>61.15</v>
      </c>
      <c r="M8" s="13">
        <f t="shared" si="3"/>
        <v>255</v>
      </c>
      <c r="N8" s="13">
        <f t="shared" si="4"/>
        <v>255</v>
      </c>
      <c r="O8" s="7">
        <f t="shared" si="5"/>
        <v>0</v>
      </c>
      <c r="Q8" s="7">
        <f t="shared" si="6"/>
        <v>0</v>
      </c>
      <c r="R8" s="7">
        <f t="shared" si="7"/>
        <v>0</v>
      </c>
      <c r="S8" s="13" t="b">
        <f t="shared" si="8"/>
        <v>1</v>
      </c>
      <c r="T8" s="13">
        <f t="shared" si="9"/>
        <v>6.41</v>
      </c>
      <c r="U8" s="7">
        <f t="shared" si="10"/>
        <v>0</v>
      </c>
      <c r="V8" s="7">
        <f t="shared" si="11"/>
        <v>0</v>
      </c>
      <c r="W8" s="13" t="b">
        <f t="shared" si="12"/>
        <v>1</v>
      </c>
      <c r="X8" s="13">
        <f t="shared" si="13"/>
        <v>0.71</v>
      </c>
      <c r="Y8" s="7">
        <f t="shared" si="14"/>
        <v>0</v>
      </c>
      <c r="Z8" s="7">
        <f t="shared" si="15"/>
        <v>0</v>
      </c>
      <c r="AA8" s="13" t="b">
        <f t="shared" si="16"/>
        <v>1</v>
      </c>
      <c r="AB8" s="13">
        <f t="shared" si="17"/>
        <v>61.15</v>
      </c>
    </row>
    <row r="9">
      <c r="A9" s="1" t="s">
        <v>14</v>
      </c>
      <c r="B9" s="12">
        <v>182.0</v>
      </c>
      <c r="C9" s="12">
        <v>182.0</v>
      </c>
      <c r="D9" s="7">
        <f t="shared" si="1"/>
        <v>0</v>
      </c>
      <c r="E9" s="9">
        <v>0.72</v>
      </c>
      <c r="F9" s="9">
        <v>182.0</v>
      </c>
      <c r="G9" s="9">
        <v>182.0</v>
      </c>
      <c r="H9" s="7">
        <f t="shared" si="2"/>
        <v>0</v>
      </c>
      <c r="I9" s="9">
        <v>0.13</v>
      </c>
      <c r="J9" s="9">
        <v>182.0</v>
      </c>
      <c r="K9" s="9">
        <v>182.0</v>
      </c>
      <c r="L9" s="9">
        <v>12.66</v>
      </c>
      <c r="M9" s="13">
        <f t="shared" si="3"/>
        <v>182</v>
      </c>
      <c r="N9" s="13">
        <f t="shared" si="4"/>
        <v>182</v>
      </c>
      <c r="O9" s="7">
        <f t="shared" si="5"/>
        <v>0</v>
      </c>
      <c r="Q9" s="7">
        <f t="shared" si="6"/>
        <v>0</v>
      </c>
      <c r="R9" s="7">
        <f t="shared" si="7"/>
        <v>0</v>
      </c>
      <c r="S9" s="13" t="b">
        <f t="shared" si="8"/>
        <v>1</v>
      </c>
      <c r="T9" s="13">
        <f t="shared" si="9"/>
        <v>0.72</v>
      </c>
      <c r="U9" s="7">
        <f t="shared" si="10"/>
        <v>0</v>
      </c>
      <c r="V9" s="7">
        <f t="shared" si="11"/>
        <v>0</v>
      </c>
      <c r="W9" s="13" t="b">
        <f t="shared" si="12"/>
        <v>1</v>
      </c>
      <c r="X9" s="13">
        <f t="shared" si="13"/>
        <v>0.13</v>
      </c>
      <c r="Y9" s="7">
        <f t="shared" si="14"/>
        <v>0</v>
      </c>
      <c r="Z9" s="7">
        <f t="shared" si="15"/>
        <v>0</v>
      </c>
      <c r="AA9" s="13" t="b">
        <f t="shared" si="16"/>
        <v>1</v>
      </c>
      <c r="AB9" s="13">
        <f t="shared" si="17"/>
        <v>12.66</v>
      </c>
    </row>
    <row r="10">
      <c r="A10" s="1" t="s">
        <v>15</v>
      </c>
      <c r="B10" s="12">
        <v>142.0</v>
      </c>
      <c r="C10" s="12">
        <v>142.0</v>
      </c>
      <c r="D10" s="7">
        <f t="shared" si="1"/>
        <v>0</v>
      </c>
      <c r="E10" s="9">
        <v>2.63</v>
      </c>
      <c r="F10" s="9">
        <v>142.0</v>
      </c>
      <c r="G10" s="9">
        <v>142.0</v>
      </c>
      <c r="H10" s="7">
        <f t="shared" si="2"/>
        <v>0</v>
      </c>
      <c r="I10" s="9">
        <v>0.37</v>
      </c>
      <c r="J10" s="9">
        <v>142.0</v>
      </c>
      <c r="K10" s="9">
        <v>142.0</v>
      </c>
      <c r="L10" s="9">
        <v>29.17</v>
      </c>
      <c r="M10" s="13">
        <f t="shared" si="3"/>
        <v>142</v>
      </c>
      <c r="N10" s="13">
        <f t="shared" si="4"/>
        <v>142</v>
      </c>
      <c r="O10" s="7">
        <f t="shared" si="5"/>
        <v>0</v>
      </c>
      <c r="Q10" s="7">
        <f t="shared" si="6"/>
        <v>0</v>
      </c>
      <c r="R10" s="7">
        <f t="shared" si="7"/>
        <v>0</v>
      </c>
      <c r="S10" s="13" t="b">
        <f t="shared" si="8"/>
        <v>1</v>
      </c>
      <c r="T10" s="13">
        <f t="shared" si="9"/>
        <v>2.63</v>
      </c>
      <c r="U10" s="7">
        <f t="shared" si="10"/>
        <v>0</v>
      </c>
      <c r="V10" s="7">
        <f t="shared" si="11"/>
        <v>0</v>
      </c>
      <c r="W10" s="13" t="b">
        <f t="shared" si="12"/>
        <v>1</v>
      </c>
      <c r="X10" s="13">
        <f t="shared" si="13"/>
        <v>0.37</v>
      </c>
      <c r="Y10" s="7">
        <f t="shared" si="14"/>
        <v>0</v>
      </c>
      <c r="Z10" s="7">
        <f t="shared" si="15"/>
        <v>0</v>
      </c>
      <c r="AA10" s="13" t="b">
        <f t="shared" si="16"/>
        <v>1</v>
      </c>
      <c r="AB10" s="13">
        <f t="shared" si="17"/>
        <v>29.17</v>
      </c>
    </row>
    <row r="11">
      <c r="A11" s="1" t="s">
        <v>16</v>
      </c>
      <c r="B11" s="12">
        <v>344.0</v>
      </c>
      <c r="C11" s="12">
        <v>344.0</v>
      </c>
      <c r="D11" s="7">
        <f t="shared" si="1"/>
        <v>0</v>
      </c>
      <c r="E11" s="9">
        <v>0.64</v>
      </c>
      <c r="F11" s="9">
        <v>344.0</v>
      </c>
      <c r="G11" s="9">
        <v>344.0</v>
      </c>
      <c r="H11" s="7">
        <f t="shared" si="2"/>
        <v>0</v>
      </c>
      <c r="I11" s="9">
        <v>0.19</v>
      </c>
      <c r="J11" s="9">
        <v>344.0</v>
      </c>
      <c r="K11" s="9">
        <v>344.0</v>
      </c>
      <c r="L11" s="9">
        <v>0.17</v>
      </c>
      <c r="M11" s="13">
        <f t="shared" si="3"/>
        <v>344</v>
      </c>
      <c r="N11" s="13">
        <f t="shared" si="4"/>
        <v>344</v>
      </c>
      <c r="O11" s="7">
        <f t="shared" si="5"/>
        <v>0</v>
      </c>
      <c r="Q11" s="7">
        <f t="shared" si="6"/>
        <v>0</v>
      </c>
      <c r="R11" s="7">
        <f t="shared" si="7"/>
        <v>0</v>
      </c>
      <c r="S11" s="13" t="b">
        <f t="shared" si="8"/>
        <v>1</v>
      </c>
      <c r="T11" s="13">
        <f t="shared" si="9"/>
        <v>0.64</v>
      </c>
      <c r="U11" s="7">
        <f t="shared" si="10"/>
        <v>0</v>
      </c>
      <c r="V11" s="7">
        <f t="shared" si="11"/>
        <v>0</v>
      </c>
      <c r="W11" s="13" t="b">
        <f t="shared" si="12"/>
        <v>1</v>
      </c>
      <c r="X11" s="13">
        <f t="shared" si="13"/>
        <v>0.19</v>
      </c>
      <c r="Y11" s="7">
        <f t="shared" si="14"/>
        <v>0</v>
      </c>
      <c r="Z11" s="7">
        <f t="shared" si="15"/>
        <v>0</v>
      </c>
      <c r="AA11" s="13" t="b">
        <f t="shared" si="16"/>
        <v>1</v>
      </c>
      <c r="AB11" s="13">
        <f t="shared" si="17"/>
        <v>0.17</v>
      </c>
    </row>
    <row r="12">
      <c r="A12" s="1" t="s">
        <v>17</v>
      </c>
      <c r="B12" s="12">
        <v>478.0</v>
      </c>
      <c r="C12" s="12">
        <v>478.0</v>
      </c>
      <c r="D12" s="7">
        <f t="shared" si="1"/>
        <v>0</v>
      </c>
      <c r="E12" s="9">
        <v>2.34</v>
      </c>
      <c r="F12" s="9">
        <v>478.0</v>
      </c>
      <c r="G12" s="9">
        <v>478.0</v>
      </c>
      <c r="H12" s="7">
        <f t="shared" si="2"/>
        <v>0</v>
      </c>
      <c r="I12" s="9">
        <v>0.93</v>
      </c>
      <c r="J12" s="9">
        <v>478.0</v>
      </c>
      <c r="K12" s="9">
        <v>478.0</v>
      </c>
      <c r="L12" s="9">
        <v>4.29</v>
      </c>
      <c r="M12" s="13">
        <f t="shared" si="3"/>
        <v>478</v>
      </c>
      <c r="N12" s="13">
        <f t="shared" si="4"/>
        <v>478</v>
      </c>
      <c r="O12" s="7">
        <f t="shared" si="5"/>
        <v>0</v>
      </c>
      <c r="Q12" s="7">
        <f t="shared" si="6"/>
        <v>0</v>
      </c>
      <c r="R12" s="7">
        <f t="shared" si="7"/>
        <v>0</v>
      </c>
      <c r="S12" s="13" t="b">
        <f t="shared" si="8"/>
        <v>1</v>
      </c>
      <c r="T12" s="13">
        <f t="shared" si="9"/>
        <v>2.34</v>
      </c>
      <c r="U12" s="7">
        <f t="shared" si="10"/>
        <v>0</v>
      </c>
      <c r="V12" s="7">
        <f t="shared" si="11"/>
        <v>0</v>
      </c>
      <c r="W12" s="13" t="b">
        <f t="shared" si="12"/>
        <v>1</v>
      </c>
      <c r="X12" s="13">
        <f t="shared" si="13"/>
        <v>0.93</v>
      </c>
      <c r="Y12" s="7">
        <f t="shared" si="14"/>
        <v>0</v>
      </c>
      <c r="Z12" s="7">
        <f t="shared" si="15"/>
        <v>0</v>
      </c>
      <c r="AA12" s="13" t="b">
        <f t="shared" si="16"/>
        <v>1</v>
      </c>
      <c r="AB12" s="13">
        <f t="shared" si="17"/>
        <v>4.29</v>
      </c>
    </row>
    <row r="13">
      <c r="A13" s="1" t="s">
        <v>18</v>
      </c>
      <c r="B13" s="12">
        <v>1045.0</v>
      </c>
      <c r="C13" s="12">
        <v>1045.0</v>
      </c>
      <c r="D13" s="7">
        <f t="shared" si="1"/>
        <v>0</v>
      </c>
      <c r="E13" s="9">
        <v>0.85</v>
      </c>
      <c r="F13" s="9">
        <v>1045.0</v>
      </c>
      <c r="G13" s="9">
        <v>1045.0</v>
      </c>
      <c r="H13" s="7">
        <f t="shared" si="2"/>
        <v>0</v>
      </c>
      <c r="I13" s="9">
        <v>0.15</v>
      </c>
      <c r="J13" s="9">
        <v>1045.0</v>
      </c>
      <c r="K13" s="9">
        <v>1045.0</v>
      </c>
      <c r="L13" s="9">
        <v>0.27</v>
      </c>
      <c r="M13" s="13">
        <f t="shared" si="3"/>
        <v>1045</v>
      </c>
      <c r="N13" s="13">
        <f t="shared" si="4"/>
        <v>1045</v>
      </c>
      <c r="O13" s="7">
        <f t="shared" si="5"/>
        <v>0</v>
      </c>
      <c r="Q13" s="7">
        <f t="shared" si="6"/>
        <v>0</v>
      </c>
      <c r="R13" s="7">
        <f t="shared" si="7"/>
        <v>0</v>
      </c>
      <c r="S13" s="13" t="b">
        <f t="shared" si="8"/>
        <v>1</v>
      </c>
      <c r="T13" s="13">
        <f t="shared" si="9"/>
        <v>0.85</v>
      </c>
      <c r="U13" s="7">
        <f t="shared" si="10"/>
        <v>0</v>
      </c>
      <c r="V13" s="7">
        <f t="shared" si="11"/>
        <v>0</v>
      </c>
      <c r="W13" s="13" t="b">
        <f t="shared" si="12"/>
        <v>1</v>
      </c>
      <c r="X13" s="13">
        <f t="shared" si="13"/>
        <v>0.15</v>
      </c>
      <c r="Y13" s="7">
        <f t="shared" si="14"/>
        <v>0</v>
      </c>
      <c r="Z13" s="7">
        <f t="shared" si="15"/>
        <v>0</v>
      </c>
      <c r="AA13" s="13" t="b">
        <f t="shared" si="16"/>
        <v>1</v>
      </c>
      <c r="AB13" s="13">
        <f t="shared" si="17"/>
        <v>0.27</v>
      </c>
    </row>
    <row r="14">
      <c r="A14" s="1" t="s">
        <v>19</v>
      </c>
      <c r="B14" s="12">
        <v>506.0</v>
      </c>
      <c r="C14" s="12">
        <v>506.0</v>
      </c>
      <c r="D14" s="7">
        <f t="shared" si="1"/>
        <v>0</v>
      </c>
      <c r="E14" s="9">
        <v>719.66</v>
      </c>
      <c r="F14" s="9">
        <v>506.0</v>
      </c>
      <c r="G14" s="9">
        <v>506.0</v>
      </c>
      <c r="H14" s="7">
        <f t="shared" si="2"/>
        <v>0</v>
      </c>
      <c r="I14" s="9">
        <v>1.91</v>
      </c>
      <c r="J14" s="9">
        <v>506.0</v>
      </c>
      <c r="K14" s="9">
        <v>506.0</v>
      </c>
      <c r="L14" s="9">
        <v>31.15</v>
      </c>
      <c r="M14" s="13">
        <f t="shared" si="3"/>
        <v>506</v>
      </c>
      <c r="N14" s="13">
        <f t="shared" si="4"/>
        <v>506</v>
      </c>
      <c r="O14" s="7">
        <f t="shared" si="5"/>
        <v>0</v>
      </c>
      <c r="Q14" s="7">
        <f t="shared" si="6"/>
        <v>0</v>
      </c>
      <c r="R14" s="7">
        <f t="shared" si="7"/>
        <v>0</v>
      </c>
      <c r="S14" s="13" t="b">
        <f t="shared" si="8"/>
        <v>1</v>
      </c>
      <c r="T14" s="13">
        <f t="shared" si="9"/>
        <v>719.66</v>
      </c>
      <c r="U14" s="7">
        <f t="shared" si="10"/>
        <v>0</v>
      </c>
      <c r="V14" s="7">
        <f t="shared" si="11"/>
        <v>0</v>
      </c>
      <c r="W14" s="13" t="b">
        <f t="shared" si="12"/>
        <v>1</v>
      </c>
      <c r="X14" s="13">
        <f t="shared" si="13"/>
        <v>1.91</v>
      </c>
      <c r="Y14" s="7">
        <f t="shared" si="14"/>
        <v>0</v>
      </c>
      <c r="Z14" s="7">
        <f t="shared" si="15"/>
        <v>0</v>
      </c>
      <c r="AA14" s="13" t="b">
        <f t="shared" si="16"/>
        <v>1</v>
      </c>
      <c r="AB14" s="13">
        <f t="shared" si="17"/>
        <v>31.15</v>
      </c>
    </row>
    <row r="15">
      <c r="A15" s="1" t="s">
        <v>20</v>
      </c>
      <c r="B15" s="12">
        <v>398.0</v>
      </c>
      <c r="C15" s="12">
        <v>398.0</v>
      </c>
      <c r="D15" s="7">
        <f t="shared" si="1"/>
        <v>0</v>
      </c>
      <c r="E15" s="9">
        <v>0.69</v>
      </c>
      <c r="F15" s="9">
        <v>398.0</v>
      </c>
      <c r="G15" s="9">
        <v>398.0</v>
      </c>
      <c r="H15" s="7">
        <f t="shared" si="2"/>
        <v>0</v>
      </c>
      <c r="I15" s="9">
        <v>0.37</v>
      </c>
      <c r="J15" s="9">
        <v>398.0</v>
      </c>
      <c r="K15" s="9">
        <v>398.0</v>
      </c>
      <c r="L15" s="9">
        <v>0.29</v>
      </c>
      <c r="M15" s="13">
        <f t="shared" si="3"/>
        <v>398</v>
      </c>
      <c r="N15" s="13">
        <f t="shared" si="4"/>
        <v>398</v>
      </c>
      <c r="O15" s="7">
        <f t="shared" si="5"/>
        <v>0</v>
      </c>
      <c r="Q15" s="7">
        <f t="shared" si="6"/>
        <v>0</v>
      </c>
      <c r="R15" s="7">
        <f t="shared" si="7"/>
        <v>0</v>
      </c>
      <c r="S15" s="13" t="b">
        <f t="shared" si="8"/>
        <v>1</v>
      </c>
      <c r="T15" s="13">
        <f t="shared" si="9"/>
        <v>0.69</v>
      </c>
      <c r="U15" s="7">
        <f t="shared" si="10"/>
        <v>0</v>
      </c>
      <c r="V15" s="7">
        <f t="shared" si="11"/>
        <v>0</v>
      </c>
      <c r="W15" s="13" t="b">
        <f t="shared" si="12"/>
        <v>1</v>
      </c>
      <c r="X15" s="13">
        <f t="shared" si="13"/>
        <v>0.37</v>
      </c>
      <c r="Y15" s="7">
        <f t="shared" si="14"/>
        <v>0</v>
      </c>
      <c r="Z15" s="7">
        <f t="shared" si="15"/>
        <v>0</v>
      </c>
      <c r="AA15" s="13" t="b">
        <f t="shared" si="16"/>
        <v>1</v>
      </c>
      <c r="AB15" s="13">
        <f t="shared" si="17"/>
        <v>0.29</v>
      </c>
    </row>
    <row r="16">
      <c r="A16" s="1" t="s">
        <v>21</v>
      </c>
      <c r="B16" s="12">
        <v>227.0</v>
      </c>
      <c r="C16" s="12">
        <v>227.0</v>
      </c>
      <c r="D16" s="7">
        <f t="shared" si="1"/>
        <v>0</v>
      </c>
      <c r="E16" s="9">
        <v>17.04</v>
      </c>
      <c r="F16" s="9">
        <v>227.0</v>
      </c>
      <c r="G16" s="9">
        <v>227.0</v>
      </c>
      <c r="H16" s="7">
        <f t="shared" si="2"/>
        <v>0</v>
      </c>
      <c r="I16" s="9">
        <v>1.66</v>
      </c>
      <c r="J16" s="9">
        <v>227.0</v>
      </c>
      <c r="K16" s="9">
        <v>227.0</v>
      </c>
      <c r="L16" s="9">
        <v>17.8</v>
      </c>
      <c r="M16" s="13">
        <f t="shared" si="3"/>
        <v>227</v>
      </c>
      <c r="N16" s="13">
        <f t="shared" si="4"/>
        <v>227</v>
      </c>
      <c r="O16" s="7">
        <f t="shared" si="5"/>
        <v>0</v>
      </c>
      <c r="Q16" s="7">
        <f t="shared" si="6"/>
        <v>0</v>
      </c>
      <c r="R16" s="7">
        <f t="shared" si="7"/>
        <v>0</v>
      </c>
      <c r="S16" s="13" t="b">
        <f t="shared" si="8"/>
        <v>1</v>
      </c>
      <c r="T16" s="13">
        <f t="shared" si="9"/>
        <v>17.04</v>
      </c>
      <c r="U16" s="7">
        <f t="shared" si="10"/>
        <v>0</v>
      </c>
      <c r="V16" s="7">
        <f t="shared" si="11"/>
        <v>0</v>
      </c>
      <c r="W16" s="13" t="b">
        <f t="shared" si="12"/>
        <v>1</v>
      </c>
      <c r="X16" s="13">
        <f t="shared" si="13"/>
        <v>1.66</v>
      </c>
      <c r="Y16" s="7">
        <f t="shared" si="14"/>
        <v>0</v>
      </c>
      <c r="Z16" s="7">
        <f t="shared" si="15"/>
        <v>0</v>
      </c>
      <c r="AA16" s="13" t="b">
        <f t="shared" si="16"/>
        <v>1</v>
      </c>
      <c r="AB16" s="13">
        <f t="shared" si="17"/>
        <v>17.8</v>
      </c>
    </row>
    <row r="17">
      <c r="A17" s="1" t="s">
        <v>22</v>
      </c>
      <c r="B17" s="12">
        <v>372.0</v>
      </c>
      <c r="C17" s="12">
        <v>372.0</v>
      </c>
      <c r="D17" s="7">
        <f t="shared" si="1"/>
        <v>0</v>
      </c>
      <c r="E17" s="9">
        <v>1.75</v>
      </c>
      <c r="F17" s="9">
        <v>372.0</v>
      </c>
      <c r="G17" s="9">
        <v>372.0</v>
      </c>
      <c r="H17" s="7">
        <f t="shared" si="2"/>
        <v>0</v>
      </c>
      <c r="I17" s="9">
        <v>0.62</v>
      </c>
      <c r="J17" s="9">
        <v>372.0</v>
      </c>
      <c r="K17" s="9">
        <v>372.0</v>
      </c>
      <c r="L17" s="9">
        <v>8.57</v>
      </c>
      <c r="M17" s="13">
        <f t="shared" si="3"/>
        <v>372</v>
      </c>
      <c r="N17" s="13">
        <f t="shared" si="4"/>
        <v>372</v>
      </c>
      <c r="O17" s="7">
        <f t="shared" si="5"/>
        <v>0</v>
      </c>
      <c r="Q17" s="7">
        <f t="shared" si="6"/>
        <v>0</v>
      </c>
      <c r="R17" s="7">
        <f t="shared" si="7"/>
        <v>0</v>
      </c>
      <c r="S17" s="13" t="b">
        <f t="shared" si="8"/>
        <v>1</v>
      </c>
      <c r="T17" s="13">
        <f t="shared" si="9"/>
        <v>1.75</v>
      </c>
      <c r="U17" s="7">
        <f t="shared" si="10"/>
        <v>0</v>
      </c>
      <c r="V17" s="7">
        <f t="shared" si="11"/>
        <v>0</v>
      </c>
      <c r="W17" s="13" t="b">
        <f t="shared" si="12"/>
        <v>1</v>
      </c>
      <c r="X17" s="13">
        <f t="shared" si="13"/>
        <v>0.62</v>
      </c>
      <c r="Y17" s="7">
        <f t="shared" si="14"/>
        <v>0</v>
      </c>
      <c r="Z17" s="7">
        <f t="shared" si="15"/>
        <v>0</v>
      </c>
      <c r="AA17" s="13" t="b">
        <f t="shared" si="16"/>
        <v>1</v>
      </c>
      <c r="AB17" s="13">
        <f t="shared" si="17"/>
        <v>8.57</v>
      </c>
    </row>
    <row r="18">
      <c r="A18" s="1" t="s">
        <v>23</v>
      </c>
      <c r="B18" s="12">
        <v>832.0</v>
      </c>
      <c r="C18" s="12">
        <v>832.0</v>
      </c>
      <c r="D18" s="7">
        <f t="shared" si="1"/>
        <v>0</v>
      </c>
      <c r="E18" s="9">
        <v>1.09</v>
      </c>
      <c r="F18" s="9">
        <v>832.0</v>
      </c>
      <c r="G18" s="9">
        <v>832.0</v>
      </c>
      <c r="H18" s="7">
        <f t="shared" si="2"/>
        <v>0</v>
      </c>
      <c r="I18" s="9">
        <v>0.43</v>
      </c>
      <c r="J18" s="9">
        <v>832.0</v>
      </c>
      <c r="K18" s="9">
        <v>832.0</v>
      </c>
      <c r="L18" s="9">
        <v>0.0</v>
      </c>
      <c r="M18" s="13">
        <f t="shared" si="3"/>
        <v>832</v>
      </c>
      <c r="N18" s="13">
        <f t="shared" si="4"/>
        <v>832</v>
      </c>
      <c r="O18" s="7">
        <f t="shared" si="5"/>
        <v>0</v>
      </c>
      <c r="Q18" s="7">
        <f t="shared" si="6"/>
        <v>0</v>
      </c>
      <c r="R18" s="7">
        <f t="shared" si="7"/>
        <v>0</v>
      </c>
      <c r="S18" s="13" t="b">
        <f t="shared" si="8"/>
        <v>1</v>
      </c>
      <c r="T18" s="13">
        <f t="shared" si="9"/>
        <v>1.09</v>
      </c>
      <c r="U18" s="7">
        <f t="shared" si="10"/>
        <v>0</v>
      </c>
      <c r="V18" s="7">
        <f t="shared" si="11"/>
        <v>0</v>
      </c>
      <c r="W18" s="13" t="b">
        <f t="shared" si="12"/>
        <v>1</v>
      </c>
      <c r="X18" s="13">
        <f t="shared" si="13"/>
        <v>0.43</v>
      </c>
      <c r="Y18" s="7">
        <f t="shared" si="14"/>
        <v>0</v>
      </c>
      <c r="Z18" s="7">
        <f t="shared" si="15"/>
        <v>0</v>
      </c>
      <c r="AA18" s="13" t="b">
        <f t="shared" si="16"/>
        <v>1</v>
      </c>
      <c r="AB18" s="13">
        <f t="shared" si="17"/>
        <v>0</v>
      </c>
    </row>
    <row r="19">
      <c r="A19" s="1" t="s">
        <v>24</v>
      </c>
      <c r="B19" s="12">
        <v>735.0</v>
      </c>
      <c r="C19" s="12">
        <v>735.0</v>
      </c>
      <c r="D19" s="7">
        <f t="shared" si="1"/>
        <v>0</v>
      </c>
      <c r="E19" s="9">
        <v>6.41</v>
      </c>
      <c r="F19" s="9">
        <v>735.0</v>
      </c>
      <c r="G19" s="9">
        <v>735.0</v>
      </c>
      <c r="H19" s="7">
        <f t="shared" si="2"/>
        <v>0</v>
      </c>
      <c r="I19" s="9">
        <v>1.76</v>
      </c>
      <c r="J19" s="9">
        <v>735.0</v>
      </c>
      <c r="K19" s="9">
        <v>735.0</v>
      </c>
      <c r="L19" s="9">
        <v>1.89</v>
      </c>
      <c r="M19" s="13">
        <f t="shared" si="3"/>
        <v>735</v>
      </c>
      <c r="N19" s="13">
        <f t="shared" si="4"/>
        <v>735</v>
      </c>
      <c r="O19" s="7">
        <f t="shared" si="5"/>
        <v>0</v>
      </c>
      <c r="Q19" s="7">
        <f t="shared" si="6"/>
        <v>0</v>
      </c>
      <c r="R19" s="7">
        <f t="shared" si="7"/>
        <v>0</v>
      </c>
      <c r="S19" s="13" t="b">
        <f t="shared" si="8"/>
        <v>1</v>
      </c>
      <c r="T19" s="13">
        <f t="shared" si="9"/>
        <v>6.41</v>
      </c>
      <c r="U19" s="7">
        <f t="shared" si="10"/>
        <v>0</v>
      </c>
      <c r="V19" s="7">
        <f t="shared" si="11"/>
        <v>0</v>
      </c>
      <c r="W19" s="13" t="b">
        <f t="shared" si="12"/>
        <v>1</v>
      </c>
      <c r="X19" s="13">
        <f t="shared" si="13"/>
        <v>1.76</v>
      </c>
      <c r="Y19" s="7">
        <f t="shared" si="14"/>
        <v>0</v>
      </c>
      <c r="Z19" s="7">
        <f t="shared" si="15"/>
        <v>0</v>
      </c>
      <c r="AA19" s="13" t="b">
        <f t="shared" si="16"/>
        <v>1</v>
      </c>
      <c r="AB19" s="13">
        <f t="shared" si="17"/>
        <v>1.89</v>
      </c>
    </row>
    <row r="20">
      <c r="A20" s="1" t="s">
        <v>25</v>
      </c>
      <c r="B20" s="12">
        <v>907.0</v>
      </c>
      <c r="C20" s="12">
        <v>907.0</v>
      </c>
      <c r="D20" s="7">
        <f t="shared" si="1"/>
        <v>0</v>
      </c>
      <c r="E20" s="9">
        <v>10.19</v>
      </c>
      <c r="F20" s="9">
        <v>907.0</v>
      </c>
      <c r="G20" s="9">
        <v>907.0</v>
      </c>
      <c r="H20" s="7">
        <f t="shared" si="2"/>
        <v>0</v>
      </c>
      <c r="I20" s="9">
        <v>0.8</v>
      </c>
      <c r="J20" s="9">
        <v>907.0</v>
      </c>
      <c r="K20" s="9">
        <v>907.0</v>
      </c>
      <c r="L20" s="9">
        <v>6.96</v>
      </c>
      <c r="M20" s="13">
        <f t="shared" si="3"/>
        <v>907</v>
      </c>
      <c r="N20" s="13">
        <f t="shared" si="4"/>
        <v>907</v>
      </c>
      <c r="O20" s="7">
        <f t="shared" si="5"/>
        <v>0</v>
      </c>
      <c r="Q20" s="7">
        <f t="shared" si="6"/>
        <v>0</v>
      </c>
      <c r="R20" s="7">
        <f t="shared" si="7"/>
        <v>0</v>
      </c>
      <c r="S20" s="13" t="b">
        <f t="shared" si="8"/>
        <v>1</v>
      </c>
      <c r="T20" s="13">
        <f t="shared" si="9"/>
        <v>10.19</v>
      </c>
      <c r="U20" s="7">
        <f t="shared" si="10"/>
        <v>0</v>
      </c>
      <c r="V20" s="7">
        <f t="shared" si="11"/>
        <v>0</v>
      </c>
      <c r="W20" s="13" t="b">
        <f t="shared" si="12"/>
        <v>1</v>
      </c>
      <c r="X20" s="13">
        <f t="shared" si="13"/>
        <v>0.8</v>
      </c>
      <c r="Y20" s="7">
        <f t="shared" si="14"/>
        <v>0</v>
      </c>
      <c r="Z20" s="7">
        <f t="shared" si="15"/>
        <v>0</v>
      </c>
      <c r="AA20" s="13" t="b">
        <f t="shared" si="16"/>
        <v>1</v>
      </c>
      <c r="AB20" s="13">
        <f t="shared" si="17"/>
        <v>6.96</v>
      </c>
    </row>
    <row r="21">
      <c r="A21" s="1" t="s">
        <v>26</v>
      </c>
      <c r="B21" s="12">
        <v>420.0</v>
      </c>
      <c r="C21" s="12">
        <v>425.0</v>
      </c>
      <c r="D21" s="7">
        <f t="shared" si="1"/>
        <v>0.0119047619</v>
      </c>
      <c r="E21" s="9">
        <v>3600.0</v>
      </c>
      <c r="F21" s="9">
        <v>420.0</v>
      </c>
      <c r="G21" s="9">
        <v>420.0</v>
      </c>
      <c r="H21" s="7">
        <f t="shared" si="2"/>
        <v>0</v>
      </c>
      <c r="I21" s="9">
        <v>29.31</v>
      </c>
      <c r="J21" s="9">
        <v>420.0</v>
      </c>
      <c r="K21" s="9">
        <v>420.0</v>
      </c>
      <c r="L21" s="9">
        <v>0.92</v>
      </c>
      <c r="M21" s="13">
        <f t="shared" si="3"/>
        <v>420</v>
      </c>
      <c r="N21" s="13">
        <f t="shared" si="4"/>
        <v>420</v>
      </c>
      <c r="O21" s="7">
        <f t="shared" si="5"/>
        <v>0</v>
      </c>
      <c r="Q21" s="7">
        <f t="shared" si="6"/>
        <v>0.0119047619</v>
      </c>
      <c r="R21" s="7">
        <f t="shared" si="7"/>
        <v>0</v>
      </c>
      <c r="S21" s="13" t="b">
        <f t="shared" si="8"/>
        <v>1</v>
      </c>
      <c r="T21" s="13">
        <f t="shared" si="9"/>
        <v>3600</v>
      </c>
      <c r="U21" s="7">
        <f t="shared" si="10"/>
        <v>0</v>
      </c>
      <c r="V21" s="7">
        <f t="shared" si="11"/>
        <v>0</v>
      </c>
      <c r="W21" s="13" t="b">
        <f t="shared" si="12"/>
        <v>1</v>
      </c>
      <c r="X21" s="13">
        <f t="shared" si="13"/>
        <v>29.31</v>
      </c>
      <c r="Y21" s="7">
        <f t="shared" si="14"/>
        <v>0</v>
      </c>
      <c r="Z21" s="7">
        <f t="shared" si="15"/>
        <v>0</v>
      </c>
      <c r="AA21" s="13" t="b">
        <f t="shared" si="16"/>
        <v>1</v>
      </c>
      <c r="AB21" s="13">
        <f t="shared" si="17"/>
        <v>0.92</v>
      </c>
    </row>
    <row r="22">
      <c r="A22" s="1" t="s">
        <v>27</v>
      </c>
      <c r="B22" s="12">
        <v>404.0</v>
      </c>
      <c r="C22" s="12">
        <v>404.0</v>
      </c>
      <c r="D22" s="7">
        <f t="shared" si="1"/>
        <v>0</v>
      </c>
      <c r="E22" s="9">
        <v>7.18</v>
      </c>
      <c r="F22" s="9">
        <v>404.0</v>
      </c>
      <c r="G22" s="9">
        <v>404.0</v>
      </c>
      <c r="H22" s="7">
        <f t="shared" si="2"/>
        <v>0</v>
      </c>
      <c r="I22" s="9">
        <v>1.12</v>
      </c>
      <c r="J22" s="9">
        <v>404.0</v>
      </c>
      <c r="K22" s="9">
        <v>404.0</v>
      </c>
      <c r="L22" s="9">
        <v>3.32</v>
      </c>
      <c r="M22" s="13">
        <f t="shared" si="3"/>
        <v>404</v>
      </c>
      <c r="N22" s="13">
        <f t="shared" si="4"/>
        <v>404</v>
      </c>
      <c r="O22" s="7">
        <f t="shared" si="5"/>
        <v>0</v>
      </c>
      <c r="Q22" s="7">
        <f t="shared" si="6"/>
        <v>0</v>
      </c>
      <c r="R22" s="7">
        <f t="shared" si="7"/>
        <v>0</v>
      </c>
      <c r="S22" s="13" t="b">
        <f t="shared" si="8"/>
        <v>1</v>
      </c>
      <c r="T22" s="13">
        <f t="shared" si="9"/>
        <v>7.18</v>
      </c>
      <c r="U22" s="7">
        <f t="shared" si="10"/>
        <v>0</v>
      </c>
      <c r="V22" s="7">
        <f t="shared" si="11"/>
        <v>0</v>
      </c>
      <c r="W22" s="13" t="b">
        <f t="shared" si="12"/>
        <v>1</v>
      </c>
      <c r="X22" s="13">
        <f t="shared" si="13"/>
        <v>1.12</v>
      </c>
      <c r="Y22" s="7">
        <f t="shared" si="14"/>
        <v>0</v>
      </c>
      <c r="Z22" s="7">
        <f t="shared" si="15"/>
        <v>0</v>
      </c>
      <c r="AA22" s="13" t="b">
        <f t="shared" si="16"/>
        <v>1</v>
      </c>
      <c r="AB22" s="13">
        <f t="shared" si="17"/>
        <v>3.32</v>
      </c>
    </row>
    <row r="23">
      <c r="A23" s="1" t="s">
        <v>28</v>
      </c>
      <c r="B23" s="12">
        <v>1143.0</v>
      </c>
      <c r="C23" s="12">
        <v>1143.0</v>
      </c>
      <c r="D23" s="7">
        <f t="shared" si="1"/>
        <v>0</v>
      </c>
      <c r="E23" s="9">
        <v>5.59</v>
      </c>
      <c r="F23" s="9">
        <v>1143.0</v>
      </c>
      <c r="G23" s="9">
        <v>1143.0</v>
      </c>
      <c r="H23" s="7">
        <f t="shared" si="2"/>
        <v>0</v>
      </c>
      <c r="I23" s="9">
        <v>1.16</v>
      </c>
      <c r="J23" s="9">
        <v>1143.0</v>
      </c>
      <c r="K23" s="9">
        <v>1143.0</v>
      </c>
      <c r="L23" s="9">
        <v>72.32</v>
      </c>
      <c r="M23" s="13">
        <f t="shared" si="3"/>
        <v>1143</v>
      </c>
      <c r="N23" s="13">
        <f t="shared" si="4"/>
        <v>1143</v>
      </c>
      <c r="O23" s="7">
        <f t="shared" si="5"/>
        <v>0</v>
      </c>
      <c r="Q23" s="7">
        <f t="shared" si="6"/>
        <v>0</v>
      </c>
      <c r="R23" s="7">
        <f t="shared" si="7"/>
        <v>0</v>
      </c>
      <c r="S23" s="13" t="b">
        <f t="shared" si="8"/>
        <v>1</v>
      </c>
      <c r="T23" s="13">
        <f t="shared" si="9"/>
        <v>5.59</v>
      </c>
      <c r="U23" s="7">
        <f t="shared" si="10"/>
        <v>0</v>
      </c>
      <c r="V23" s="7">
        <f t="shared" si="11"/>
        <v>0</v>
      </c>
      <c r="W23" s="13" t="b">
        <f t="shared" si="12"/>
        <v>1</v>
      </c>
      <c r="X23" s="13">
        <f t="shared" si="13"/>
        <v>1.16</v>
      </c>
      <c r="Y23" s="7">
        <f t="shared" si="14"/>
        <v>0</v>
      </c>
      <c r="Z23" s="7">
        <f t="shared" si="15"/>
        <v>0</v>
      </c>
      <c r="AA23" s="13" t="b">
        <f t="shared" si="16"/>
        <v>1</v>
      </c>
      <c r="AB23" s="13">
        <f t="shared" si="17"/>
        <v>72.32</v>
      </c>
    </row>
    <row r="24">
      <c r="A24" s="1" t="s">
        <v>29</v>
      </c>
      <c r="B24" s="12">
        <v>917.0</v>
      </c>
      <c r="C24" s="12">
        <v>917.0</v>
      </c>
      <c r="D24" s="7">
        <f t="shared" si="1"/>
        <v>0</v>
      </c>
      <c r="E24" s="9">
        <v>23.22</v>
      </c>
      <c r="F24" s="9">
        <v>917.0</v>
      </c>
      <c r="G24" s="9">
        <v>917.0</v>
      </c>
      <c r="H24" s="7">
        <f t="shared" si="2"/>
        <v>0</v>
      </c>
      <c r="I24" s="9">
        <v>1.84</v>
      </c>
      <c r="J24" s="9">
        <v>917.0</v>
      </c>
      <c r="K24" s="9">
        <v>917.0</v>
      </c>
      <c r="L24" s="9">
        <v>1.28</v>
      </c>
      <c r="M24" s="13">
        <f t="shared" si="3"/>
        <v>917</v>
      </c>
      <c r="N24" s="13">
        <f t="shared" si="4"/>
        <v>917</v>
      </c>
      <c r="O24" s="7">
        <f t="shared" si="5"/>
        <v>0</v>
      </c>
      <c r="Q24" s="7">
        <f t="shared" si="6"/>
        <v>0</v>
      </c>
      <c r="R24" s="7">
        <f t="shared" si="7"/>
        <v>0</v>
      </c>
      <c r="S24" s="13" t="b">
        <f t="shared" si="8"/>
        <v>1</v>
      </c>
      <c r="T24" s="13">
        <f t="shared" si="9"/>
        <v>23.22</v>
      </c>
      <c r="U24" s="7">
        <f t="shared" si="10"/>
        <v>0</v>
      </c>
      <c r="V24" s="7">
        <f t="shared" si="11"/>
        <v>0</v>
      </c>
      <c r="W24" s="13" t="b">
        <f t="shared" si="12"/>
        <v>1</v>
      </c>
      <c r="X24" s="13">
        <f t="shared" si="13"/>
        <v>1.84</v>
      </c>
      <c r="Y24" s="7">
        <f t="shared" si="14"/>
        <v>0</v>
      </c>
      <c r="Z24" s="7">
        <f t="shared" si="15"/>
        <v>0</v>
      </c>
      <c r="AA24" s="13" t="b">
        <f t="shared" si="16"/>
        <v>1</v>
      </c>
      <c r="AB24" s="13">
        <f t="shared" si="17"/>
        <v>1.28</v>
      </c>
    </row>
    <row r="25">
      <c r="A25" s="1" t="s">
        <v>30</v>
      </c>
      <c r="B25" s="12">
        <v>419.0</v>
      </c>
      <c r="C25" s="12">
        <v>419.0</v>
      </c>
      <c r="D25" s="7">
        <f t="shared" si="1"/>
        <v>0</v>
      </c>
      <c r="E25" s="9">
        <v>2863.4</v>
      </c>
      <c r="F25" s="9">
        <v>419.0</v>
      </c>
      <c r="G25" s="9">
        <v>419.0</v>
      </c>
      <c r="H25" s="7">
        <f t="shared" si="2"/>
        <v>0</v>
      </c>
      <c r="I25" s="9">
        <v>1.0</v>
      </c>
      <c r="J25" s="9">
        <v>419.0</v>
      </c>
      <c r="K25" s="9">
        <v>419.0</v>
      </c>
      <c r="L25" s="9">
        <v>21.29</v>
      </c>
      <c r="M25" s="13">
        <f t="shared" si="3"/>
        <v>419</v>
      </c>
      <c r="N25" s="13">
        <f t="shared" si="4"/>
        <v>419</v>
      </c>
      <c r="O25" s="7">
        <f t="shared" si="5"/>
        <v>0</v>
      </c>
      <c r="Q25" s="7">
        <f t="shared" si="6"/>
        <v>0</v>
      </c>
      <c r="R25" s="7">
        <f t="shared" si="7"/>
        <v>0</v>
      </c>
      <c r="S25" s="13" t="b">
        <f t="shared" si="8"/>
        <v>1</v>
      </c>
      <c r="T25" s="13">
        <f t="shared" si="9"/>
        <v>2863.4</v>
      </c>
      <c r="U25" s="7">
        <f t="shared" si="10"/>
        <v>0</v>
      </c>
      <c r="V25" s="7">
        <f t="shared" si="11"/>
        <v>0</v>
      </c>
      <c r="W25" s="13" t="b">
        <f t="shared" si="12"/>
        <v>1</v>
      </c>
      <c r="X25" s="13">
        <f t="shared" si="13"/>
        <v>1</v>
      </c>
      <c r="Y25" s="7">
        <f t="shared" si="14"/>
        <v>0</v>
      </c>
      <c r="Z25" s="7">
        <f t="shared" si="15"/>
        <v>0</v>
      </c>
      <c r="AA25" s="13" t="b">
        <f t="shared" si="16"/>
        <v>1</v>
      </c>
      <c r="AB25" s="13">
        <f t="shared" si="17"/>
        <v>21.29</v>
      </c>
    </row>
    <row r="26">
      <c r="A26" s="1" t="s">
        <v>31</v>
      </c>
      <c r="B26" s="12">
        <v>526.0</v>
      </c>
      <c r="C26" s="12">
        <v>526.0</v>
      </c>
      <c r="D26" s="7">
        <f t="shared" si="1"/>
        <v>0</v>
      </c>
      <c r="E26" s="9">
        <v>53.85</v>
      </c>
      <c r="F26" s="9">
        <v>526.0</v>
      </c>
      <c r="G26" s="9">
        <v>526.0</v>
      </c>
      <c r="H26" s="7">
        <f t="shared" si="2"/>
        <v>0</v>
      </c>
      <c r="I26" s="9">
        <v>1.43</v>
      </c>
      <c r="J26" s="9">
        <v>526.0</v>
      </c>
      <c r="K26" s="9">
        <v>526.0</v>
      </c>
      <c r="L26" s="9">
        <v>10.41</v>
      </c>
      <c r="M26" s="13">
        <f t="shared" si="3"/>
        <v>526</v>
      </c>
      <c r="N26" s="13">
        <f t="shared" si="4"/>
        <v>526</v>
      </c>
      <c r="O26" s="7">
        <f t="shared" si="5"/>
        <v>0</v>
      </c>
      <c r="Q26" s="7">
        <f t="shared" si="6"/>
        <v>0</v>
      </c>
      <c r="R26" s="7">
        <f t="shared" si="7"/>
        <v>0</v>
      </c>
      <c r="S26" s="13" t="b">
        <f t="shared" si="8"/>
        <v>1</v>
      </c>
      <c r="T26" s="13">
        <f t="shared" si="9"/>
        <v>53.85</v>
      </c>
      <c r="U26" s="7">
        <f t="shared" si="10"/>
        <v>0</v>
      </c>
      <c r="V26" s="7">
        <f t="shared" si="11"/>
        <v>0</v>
      </c>
      <c r="W26" s="13" t="b">
        <f t="shared" si="12"/>
        <v>1</v>
      </c>
      <c r="X26" s="13">
        <f t="shared" si="13"/>
        <v>1.43</v>
      </c>
      <c r="Y26" s="7">
        <f t="shared" si="14"/>
        <v>0</v>
      </c>
      <c r="Z26" s="7">
        <f t="shared" si="15"/>
        <v>0</v>
      </c>
      <c r="AA26" s="13" t="b">
        <f t="shared" si="16"/>
        <v>1</v>
      </c>
      <c r="AB26" s="13">
        <f t="shared" si="17"/>
        <v>10.41</v>
      </c>
    </row>
    <row r="27">
      <c r="A27" s="1" t="s">
        <v>32</v>
      </c>
      <c r="B27" s="12">
        <v>737.0</v>
      </c>
      <c r="C27" s="12">
        <v>737.0</v>
      </c>
      <c r="D27" s="7">
        <f t="shared" si="1"/>
        <v>0</v>
      </c>
      <c r="E27" s="9">
        <v>4.63</v>
      </c>
      <c r="F27" s="9">
        <v>737.0</v>
      </c>
      <c r="G27" s="9">
        <v>737.0</v>
      </c>
      <c r="H27" s="7">
        <f t="shared" si="2"/>
        <v>0</v>
      </c>
      <c r="I27" s="9">
        <v>0.82</v>
      </c>
      <c r="J27" s="9">
        <v>737.0</v>
      </c>
      <c r="K27" s="9">
        <v>737.0</v>
      </c>
      <c r="L27" s="9">
        <v>2.96</v>
      </c>
      <c r="M27" s="13">
        <f t="shared" si="3"/>
        <v>737</v>
      </c>
      <c r="N27" s="13">
        <f t="shared" si="4"/>
        <v>737</v>
      </c>
      <c r="O27" s="7">
        <f t="shared" si="5"/>
        <v>0</v>
      </c>
      <c r="Q27" s="7">
        <f t="shared" si="6"/>
        <v>0</v>
      </c>
      <c r="R27" s="7">
        <f t="shared" si="7"/>
        <v>0</v>
      </c>
      <c r="S27" s="13" t="b">
        <f t="shared" si="8"/>
        <v>1</v>
      </c>
      <c r="T27" s="13">
        <f t="shared" si="9"/>
        <v>4.63</v>
      </c>
      <c r="U27" s="7">
        <f t="shared" si="10"/>
        <v>0</v>
      </c>
      <c r="V27" s="7">
        <f t="shared" si="11"/>
        <v>0</v>
      </c>
      <c r="W27" s="13" t="b">
        <f t="shared" si="12"/>
        <v>1</v>
      </c>
      <c r="X27" s="13">
        <f t="shared" si="13"/>
        <v>0.82</v>
      </c>
      <c r="Y27" s="7">
        <f t="shared" si="14"/>
        <v>0</v>
      </c>
      <c r="Z27" s="7">
        <f t="shared" si="15"/>
        <v>0</v>
      </c>
      <c r="AA27" s="13" t="b">
        <f t="shared" si="16"/>
        <v>1</v>
      </c>
      <c r="AB27" s="13">
        <f t="shared" si="17"/>
        <v>2.96</v>
      </c>
    </row>
    <row r="28">
      <c r="A28" s="1" t="s">
        <v>33</v>
      </c>
      <c r="B28" s="12">
        <v>281.0</v>
      </c>
      <c r="C28" s="12">
        <v>281.0</v>
      </c>
      <c r="D28" s="7">
        <f t="shared" si="1"/>
        <v>0</v>
      </c>
      <c r="E28" s="9">
        <v>4.68</v>
      </c>
      <c r="F28" s="9">
        <v>281.0</v>
      </c>
      <c r="G28" s="9">
        <v>281.0</v>
      </c>
      <c r="H28" s="7">
        <f t="shared" si="2"/>
        <v>0</v>
      </c>
      <c r="I28" s="9">
        <v>1.47</v>
      </c>
      <c r="J28" s="9">
        <v>281.0</v>
      </c>
      <c r="K28" s="9">
        <v>281.0</v>
      </c>
      <c r="L28" s="9">
        <v>2.97</v>
      </c>
      <c r="M28" s="13">
        <f t="shared" si="3"/>
        <v>281</v>
      </c>
      <c r="N28" s="13">
        <f t="shared" si="4"/>
        <v>281</v>
      </c>
      <c r="O28" s="7">
        <f t="shared" si="5"/>
        <v>0</v>
      </c>
      <c r="Q28" s="7">
        <f t="shared" si="6"/>
        <v>0</v>
      </c>
      <c r="R28" s="7">
        <f t="shared" si="7"/>
        <v>0</v>
      </c>
      <c r="S28" s="13" t="b">
        <f t="shared" si="8"/>
        <v>1</v>
      </c>
      <c r="T28" s="13">
        <f t="shared" si="9"/>
        <v>4.68</v>
      </c>
      <c r="U28" s="7">
        <f t="shared" si="10"/>
        <v>0</v>
      </c>
      <c r="V28" s="7">
        <f t="shared" si="11"/>
        <v>0</v>
      </c>
      <c r="W28" s="13" t="b">
        <f t="shared" si="12"/>
        <v>1</v>
      </c>
      <c r="X28" s="13">
        <f t="shared" si="13"/>
        <v>1.47</v>
      </c>
      <c r="Y28" s="7">
        <f t="shared" si="14"/>
        <v>0</v>
      </c>
      <c r="Z28" s="7">
        <f t="shared" si="15"/>
        <v>0</v>
      </c>
      <c r="AA28" s="13" t="b">
        <f t="shared" si="16"/>
        <v>1</v>
      </c>
      <c r="AB28" s="13">
        <f t="shared" si="17"/>
        <v>2.97</v>
      </c>
    </row>
    <row r="29">
      <c r="A29" s="1" t="s">
        <v>34</v>
      </c>
      <c r="B29" s="12">
        <v>501.0</v>
      </c>
      <c r="C29" s="12">
        <v>501.0</v>
      </c>
      <c r="D29" s="7">
        <f t="shared" si="1"/>
        <v>0</v>
      </c>
      <c r="E29" s="9">
        <v>10.6</v>
      </c>
      <c r="F29" s="9">
        <v>501.0</v>
      </c>
      <c r="G29" s="9">
        <v>501.0</v>
      </c>
      <c r="H29" s="7">
        <f t="shared" si="2"/>
        <v>0</v>
      </c>
      <c r="I29" s="9">
        <v>3.45</v>
      </c>
      <c r="J29" s="9">
        <v>501.0</v>
      </c>
      <c r="K29" s="9">
        <v>501.0</v>
      </c>
      <c r="L29" s="9">
        <v>2.6</v>
      </c>
      <c r="M29" s="13">
        <f t="shared" si="3"/>
        <v>501</v>
      </c>
      <c r="N29" s="13">
        <f t="shared" si="4"/>
        <v>501</v>
      </c>
      <c r="O29" s="7">
        <f t="shared" si="5"/>
        <v>0</v>
      </c>
      <c r="Q29" s="7">
        <f t="shared" si="6"/>
        <v>0</v>
      </c>
      <c r="R29" s="7">
        <f t="shared" si="7"/>
        <v>0</v>
      </c>
      <c r="S29" s="13" t="b">
        <f t="shared" si="8"/>
        <v>1</v>
      </c>
      <c r="T29" s="13">
        <f t="shared" si="9"/>
        <v>10.6</v>
      </c>
      <c r="U29" s="7">
        <f t="shared" si="10"/>
        <v>0</v>
      </c>
      <c r="V29" s="7">
        <f t="shared" si="11"/>
        <v>0</v>
      </c>
      <c r="W29" s="13" t="b">
        <f t="shared" si="12"/>
        <v>1</v>
      </c>
      <c r="X29" s="13">
        <f t="shared" si="13"/>
        <v>3.45</v>
      </c>
      <c r="Y29" s="7">
        <f t="shared" si="14"/>
        <v>0</v>
      </c>
      <c r="Z29" s="7">
        <f t="shared" si="15"/>
        <v>0</v>
      </c>
      <c r="AA29" s="13" t="b">
        <f t="shared" si="16"/>
        <v>1</v>
      </c>
      <c r="AB29" s="13">
        <f t="shared" si="17"/>
        <v>2.6</v>
      </c>
    </row>
    <row r="30">
      <c r="A30" s="1" t="s">
        <v>35</v>
      </c>
      <c r="B30" s="12">
        <v>826.0</v>
      </c>
      <c r="C30" s="12">
        <v>826.0</v>
      </c>
      <c r="D30" s="7">
        <f t="shared" si="1"/>
        <v>0</v>
      </c>
      <c r="E30" s="9">
        <v>1.58</v>
      </c>
      <c r="F30" s="9">
        <v>826.0</v>
      </c>
      <c r="G30" s="9">
        <v>826.0</v>
      </c>
      <c r="H30" s="7">
        <f t="shared" si="2"/>
        <v>0</v>
      </c>
      <c r="I30" s="9">
        <v>0.86</v>
      </c>
      <c r="J30" s="9">
        <v>826.0</v>
      </c>
      <c r="K30" s="9">
        <v>826.0</v>
      </c>
      <c r="L30" s="9">
        <v>0.47</v>
      </c>
      <c r="M30" s="13">
        <f t="shared" si="3"/>
        <v>826</v>
      </c>
      <c r="N30" s="13">
        <f t="shared" si="4"/>
        <v>826</v>
      </c>
      <c r="O30" s="7">
        <f t="shared" si="5"/>
        <v>0</v>
      </c>
      <c r="Q30" s="7">
        <f t="shared" si="6"/>
        <v>0</v>
      </c>
      <c r="R30" s="7">
        <f t="shared" si="7"/>
        <v>0</v>
      </c>
      <c r="S30" s="13" t="b">
        <f t="shared" si="8"/>
        <v>1</v>
      </c>
      <c r="T30" s="13">
        <f t="shared" si="9"/>
        <v>1.58</v>
      </c>
      <c r="U30" s="7">
        <f t="shared" si="10"/>
        <v>0</v>
      </c>
      <c r="V30" s="7">
        <f t="shared" si="11"/>
        <v>0</v>
      </c>
      <c r="W30" s="13" t="b">
        <f t="shared" si="12"/>
        <v>1</v>
      </c>
      <c r="X30" s="13">
        <f t="shared" si="13"/>
        <v>0.86</v>
      </c>
      <c r="Y30" s="7">
        <f t="shared" si="14"/>
        <v>0</v>
      </c>
      <c r="Z30" s="7">
        <f t="shared" si="15"/>
        <v>0</v>
      </c>
      <c r="AA30" s="13" t="b">
        <f t="shared" si="16"/>
        <v>1</v>
      </c>
      <c r="AB30" s="13">
        <f t="shared" si="17"/>
        <v>0.47</v>
      </c>
    </row>
    <row r="31">
      <c r="A31" s="1" t="s">
        <v>36</v>
      </c>
      <c r="B31" s="12">
        <v>505.0</v>
      </c>
      <c r="C31" s="12">
        <v>505.0</v>
      </c>
      <c r="D31" s="7">
        <f t="shared" si="1"/>
        <v>0</v>
      </c>
      <c r="E31" s="9">
        <v>13.3</v>
      </c>
      <c r="F31" s="9">
        <v>505.0</v>
      </c>
      <c r="G31" s="9">
        <v>505.0</v>
      </c>
      <c r="H31" s="7">
        <f t="shared" si="2"/>
        <v>0</v>
      </c>
      <c r="I31" s="9">
        <v>2.9</v>
      </c>
      <c r="J31" s="9">
        <v>505.0</v>
      </c>
      <c r="K31" s="9">
        <v>505.0</v>
      </c>
      <c r="L31" s="9">
        <v>3.95</v>
      </c>
      <c r="M31" s="13">
        <f t="shared" si="3"/>
        <v>505</v>
      </c>
      <c r="N31" s="13">
        <f t="shared" si="4"/>
        <v>505</v>
      </c>
      <c r="O31" s="7">
        <f t="shared" si="5"/>
        <v>0</v>
      </c>
      <c r="Q31" s="7">
        <f t="shared" si="6"/>
        <v>0</v>
      </c>
      <c r="R31" s="7">
        <f t="shared" si="7"/>
        <v>0</v>
      </c>
      <c r="S31" s="13" t="b">
        <f t="shared" si="8"/>
        <v>1</v>
      </c>
      <c r="T31" s="13">
        <f t="shared" si="9"/>
        <v>13.3</v>
      </c>
      <c r="U31" s="7">
        <f t="shared" si="10"/>
        <v>0</v>
      </c>
      <c r="V31" s="7">
        <f t="shared" si="11"/>
        <v>0</v>
      </c>
      <c r="W31" s="13" t="b">
        <f t="shared" si="12"/>
        <v>1</v>
      </c>
      <c r="X31" s="13">
        <f t="shared" si="13"/>
        <v>2.9</v>
      </c>
      <c r="Y31" s="7">
        <f t="shared" si="14"/>
        <v>0</v>
      </c>
      <c r="Z31" s="7">
        <f t="shared" si="15"/>
        <v>0</v>
      </c>
      <c r="AA31" s="13" t="b">
        <f t="shared" si="16"/>
        <v>1</v>
      </c>
      <c r="AB31" s="13">
        <f t="shared" si="17"/>
        <v>3.95</v>
      </c>
    </row>
    <row r="32">
      <c r="A32" s="1" t="s">
        <v>37</v>
      </c>
      <c r="B32" s="12">
        <v>873.0</v>
      </c>
      <c r="C32" s="12">
        <v>873.0</v>
      </c>
      <c r="D32" s="7">
        <f t="shared" si="1"/>
        <v>0</v>
      </c>
      <c r="E32" s="9">
        <v>2.35</v>
      </c>
      <c r="F32" s="9">
        <v>873.0</v>
      </c>
      <c r="G32" s="9">
        <v>873.0</v>
      </c>
      <c r="H32" s="7">
        <f t="shared" si="2"/>
        <v>0</v>
      </c>
      <c r="I32" s="9">
        <v>0.82</v>
      </c>
      <c r="J32" s="9">
        <v>873.0</v>
      </c>
      <c r="K32" s="9">
        <v>873.0</v>
      </c>
      <c r="L32" s="9">
        <v>0.59</v>
      </c>
      <c r="M32" s="13">
        <f t="shared" si="3"/>
        <v>873</v>
      </c>
      <c r="N32" s="13">
        <f t="shared" si="4"/>
        <v>873</v>
      </c>
      <c r="O32" s="7">
        <f t="shared" si="5"/>
        <v>0</v>
      </c>
      <c r="Q32" s="7">
        <f t="shared" si="6"/>
        <v>0</v>
      </c>
      <c r="R32" s="7">
        <f t="shared" si="7"/>
        <v>0</v>
      </c>
      <c r="S32" s="13" t="b">
        <f t="shared" si="8"/>
        <v>1</v>
      </c>
      <c r="T32" s="13">
        <f t="shared" si="9"/>
        <v>2.35</v>
      </c>
      <c r="U32" s="7">
        <f t="shared" si="10"/>
        <v>0</v>
      </c>
      <c r="V32" s="7">
        <f t="shared" si="11"/>
        <v>0</v>
      </c>
      <c r="W32" s="13" t="b">
        <f t="shared" si="12"/>
        <v>1</v>
      </c>
      <c r="X32" s="13">
        <f t="shared" si="13"/>
        <v>0.82</v>
      </c>
      <c r="Y32" s="7">
        <f t="shared" si="14"/>
        <v>0</v>
      </c>
      <c r="Z32" s="7">
        <f t="shared" si="15"/>
        <v>0</v>
      </c>
      <c r="AA32" s="13" t="b">
        <f t="shared" si="16"/>
        <v>1</v>
      </c>
      <c r="AB32" s="13">
        <f t="shared" si="17"/>
        <v>0.59</v>
      </c>
      <c r="AD32" s="7">
        <f t="shared" ref="AD32:AE32" si="18">AVERAGE(Q3:Q32)</f>
        <v>0.0003968253968</v>
      </c>
      <c r="AE32" s="7">
        <f t="shared" si="18"/>
        <v>0</v>
      </c>
      <c r="AF32" s="13">
        <f>COUNTIF(S3:S32, "TRUE")</f>
        <v>30</v>
      </c>
      <c r="AG32" s="13">
        <f>COUNTIF(Q3:Q32,"=0")</f>
        <v>29</v>
      </c>
      <c r="AH32" s="13">
        <f t="shared" ref="AH32:AJ32" si="19">AVERAGE(T3:T32)</f>
        <v>349.3546667</v>
      </c>
      <c r="AI32" s="7">
        <f t="shared" si="19"/>
        <v>0</v>
      </c>
      <c r="AJ32" s="7">
        <f t="shared" si="19"/>
        <v>0</v>
      </c>
      <c r="AK32" s="13">
        <f>COUNTIF(W3:W32, "TRUE")</f>
        <v>30</v>
      </c>
      <c r="AL32" s="13">
        <f>COUNTIF(U3:U32,"=0")</f>
        <v>30</v>
      </c>
      <c r="AM32" s="13">
        <f t="shared" ref="AM32:AO32" si="20">AVERAGE(X3:X32)</f>
        <v>1.944666667</v>
      </c>
      <c r="AN32" s="7">
        <f t="shared" si="20"/>
        <v>0</v>
      </c>
      <c r="AO32" s="7">
        <f t="shared" si="20"/>
        <v>0</v>
      </c>
      <c r="AP32" s="13">
        <f>COUNTIF(AA3:AA32, "TRUE")</f>
        <v>30</v>
      </c>
      <c r="AQ32" s="13">
        <f>AVERAGE(AB3:AB32)</f>
        <v>13.183</v>
      </c>
    </row>
    <row r="33">
      <c r="A33" s="1" t="s">
        <v>38</v>
      </c>
      <c r="B33" s="12">
        <v>765.0</v>
      </c>
      <c r="C33" s="12">
        <v>765.0</v>
      </c>
      <c r="D33" s="7">
        <f t="shared" si="1"/>
        <v>0</v>
      </c>
      <c r="E33" s="9">
        <v>2500.83</v>
      </c>
      <c r="F33" s="9">
        <v>765.0</v>
      </c>
      <c r="G33" s="9">
        <v>765.0</v>
      </c>
      <c r="H33" s="7">
        <f t="shared" si="2"/>
        <v>0</v>
      </c>
      <c r="I33" s="9">
        <v>56.25</v>
      </c>
      <c r="J33" s="9">
        <v>765.0</v>
      </c>
      <c r="K33" s="9">
        <v>765.0</v>
      </c>
      <c r="L33" s="9">
        <v>54.41</v>
      </c>
      <c r="M33" s="13">
        <f t="shared" si="3"/>
        <v>765</v>
      </c>
      <c r="N33" s="13">
        <f t="shared" si="4"/>
        <v>765</v>
      </c>
      <c r="O33" s="7">
        <f t="shared" si="5"/>
        <v>0</v>
      </c>
      <c r="Q33" s="7">
        <f t="shared" si="6"/>
        <v>0</v>
      </c>
      <c r="R33" s="7">
        <f t="shared" si="7"/>
        <v>0</v>
      </c>
      <c r="S33" s="13" t="b">
        <f t="shared" si="8"/>
        <v>1</v>
      </c>
      <c r="T33" s="13">
        <f t="shared" si="9"/>
        <v>2500.83</v>
      </c>
      <c r="U33" s="7">
        <f t="shared" si="10"/>
        <v>0</v>
      </c>
      <c r="V33" s="7">
        <f t="shared" si="11"/>
        <v>0</v>
      </c>
      <c r="W33" s="13" t="b">
        <f t="shared" si="12"/>
        <v>1</v>
      </c>
      <c r="X33" s="13">
        <f t="shared" si="13"/>
        <v>56.25</v>
      </c>
      <c r="Y33" s="7">
        <f t="shared" si="14"/>
        <v>0</v>
      </c>
      <c r="Z33" s="7">
        <f t="shared" si="15"/>
        <v>0</v>
      </c>
      <c r="AA33" s="13" t="b">
        <f t="shared" si="16"/>
        <v>1</v>
      </c>
      <c r="AB33" s="13">
        <f t="shared" si="17"/>
        <v>54.41</v>
      </c>
    </row>
    <row r="34">
      <c r="A34" s="1" t="s">
        <v>39</v>
      </c>
      <c r="B34" s="12">
        <v>1226.0</v>
      </c>
      <c r="C34" s="12">
        <v>1227.0</v>
      </c>
      <c r="D34" s="7">
        <f t="shared" si="1"/>
        <v>0.0008156606852</v>
      </c>
      <c r="E34" s="9">
        <v>3600.0</v>
      </c>
      <c r="F34" s="9">
        <v>1227.0</v>
      </c>
      <c r="G34" s="9">
        <v>1227.0</v>
      </c>
      <c r="H34" s="7">
        <f t="shared" si="2"/>
        <v>0</v>
      </c>
      <c r="I34" s="9">
        <v>109.17</v>
      </c>
      <c r="J34" s="9">
        <v>1227.0</v>
      </c>
      <c r="K34" s="9">
        <v>1226.1</v>
      </c>
      <c r="L34" s="9">
        <v>136.99</v>
      </c>
      <c r="M34" s="13">
        <f t="shared" si="3"/>
        <v>1227</v>
      </c>
      <c r="N34" s="13">
        <f t="shared" si="4"/>
        <v>1227</v>
      </c>
      <c r="O34" s="7">
        <f t="shared" si="5"/>
        <v>0</v>
      </c>
      <c r="Q34" s="7">
        <f t="shared" si="6"/>
        <v>0.0008156606852</v>
      </c>
      <c r="R34" s="7">
        <f t="shared" si="7"/>
        <v>0.0008156606852</v>
      </c>
      <c r="S34" s="13" t="b">
        <f t="shared" si="8"/>
        <v>0</v>
      </c>
      <c r="T34" s="13">
        <f t="shared" si="9"/>
        <v>3600</v>
      </c>
      <c r="U34" s="7">
        <f t="shared" si="10"/>
        <v>0</v>
      </c>
      <c r="V34" s="7">
        <f t="shared" si="11"/>
        <v>0</v>
      </c>
      <c r="W34" s="13" t="b">
        <f t="shared" si="12"/>
        <v>1</v>
      </c>
      <c r="X34" s="13">
        <f t="shared" si="13"/>
        <v>109.17</v>
      </c>
      <c r="Y34" s="7">
        <f t="shared" si="14"/>
        <v>0</v>
      </c>
      <c r="Z34" s="7">
        <f t="shared" si="15"/>
        <v>0.0007340347443</v>
      </c>
      <c r="AA34" s="13" t="b">
        <f t="shared" si="16"/>
        <v>1</v>
      </c>
      <c r="AB34" s="13">
        <f t="shared" si="17"/>
        <v>136.99</v>
      </c>
    </row>
    <row r="35">
      <c r="A35" s="1" t="s">
        <v>40</v>
      </c>
      <c r="B35" s="12">
        <v>1327.0</v>
      </c>
      <c r="C35" s="12">
        <v>1341.0</v>
      </c>
      <c r="D35" s="7">
        <f t="shared" si="1"/>
        <v>0.01055011304</v>
      </c>
      <c r="E35" s="9">
        <v>3600.0</v>
      </c>
      <c r="F35" s="9">
        <v>1337.0</v>
      </c>
      <c r="G35" s="9">
        <v>1337.0</v>
      </c>
      <c r="H35" s="7">
        <f t="shared" si="2"/>
        <v>0</v>
      </c>
      <c r="I35" s="9">
        <v>252.84</v>
      </c>
      <c r="J35" s="9">
        <v>1337.0</v>
      </c>
      <c r="K35" s="9">
        <v>1337.0</v>
      </c>
      <c r="L35" s="9">
        <v>76.38</v>
      </c>
      <c r="M35" s="13">
        <f t="shared" si="3"/>
        <v>1337</v>
      </c>
      <c r="N35" s="13">
        <f t="shared" si="4"/>
        <v>1337</v>
      </c>
      <c r="O35" s="7">
        <f t="shared" si="5"/>
        <v>0</v>
      </c>
      <c r="Q35" s="7">
        <f t="shared" si="6"/>
        <v>0.01055011304</v>
      </c>
      <c r="R35" s="7">
        <f t="shared" si="7"/>
        <v>0.007535795026</v>
      </c>
      <c r="S35" s="13" t="b">
        <f t="shared" si="8"/>
        <v>0</v>
      </c>
      <c r="T35" s="13">
        <f t="shared" si="9"/>
        <v>3600</v>
      </c>
      <c r="U35" s="7">
        <f t="shared" si="10"/>
        <v>0</v>
      </c>
      <c r="V35" s="7">
        <f t="shared" si="11"/>
        <v>0</v>
      </c>
      <c r="W35" s="13" t="b">
        <f t="shared" si="12"/>
        <v>1</v>
      </c>
      <c r="X35" s="13">
        <f t="shared" si="13"/>
        <v>252.84</v>
      </c>
      <c r="Y35" s="7">
        <f t="shared" si="14"/>
        <v>0</v>
      </c>
      <c r="Z35" s="7">
        <f t="shared" si="15"/>
        <v>0</v>
      </c>
      <c r="AA35" s="13" t="b">
        <f t="shared" si="16"/>
        <v>1</v>
      </c>
      <c r="AB35" s="13">
        <f t="shared" si="17"/>
        <v>76.38</v>
      </c>
    </row>
    <row r="36">
      <c r="A36" s="1" t="s">
        <v>41</v>
      </c>
      <c r="B36" s="12">
        <v>1962.0</v>
      </c>
      <c r="C36" s="12">
        <v>2078.0</v>
      </c>
      <c r="D36" s="7">
        <f t="shared" si="1"/>
        <v>0.05912334353</v>
      </c>
      <c r="E36" s="9">
        <v>3600.0</v>
      </c>
      <c r="F36" s="9">
        <v>2069.0</v>
      </c>
      <c r="G36" s="9">
        <v>2078.0</v>
      </c>
      <c r="H36" s="7">
        <f t="shared" si="2"/>
        <v>0.004349927501</v>
      </c>
      <c r="I36" s="9">
        <v>3600.0</v>
      </c>
      <c r="J36" s="9">
        <v>2069.0</v>
      </c>
      <c r="K36" s="9">
        <v>2052.0</v>
      </c>
      <c r="L36" s="9">
        <v>207.38</v>
      </c>
      <c r="M36" s="13">
        <f t="shared" si="3"/>
        <v>2069</v>
      </c>
      <c r="N36" s="13">
        <f t="shared" si="4"/>
        <v>2078</v>
      </c>
      <c r="O36" s="7">
        <f t="shared" si="5"/>
        <v>0.004349927501</v>
      </c>
      <c r="Q36" s="7">
        <f t="shared" si="6"/>
        <v>0.05912334353</v>
      </c>
      <c r="R36" s="7">
        <f t="shared" si="7"/>
        <v>0.05453618756</v>
      </c>
      <c r="S36" s="13" t="b">
        <f t="shared" si="8"/>
        <v>0</v>
      </c>
      <c r="T36" s="13">
        <f t="shared" si="9"/>
        <v>3600</v>
      </c>
      <c r="U36" s="7">
        <f t="shared" si="10"/>
        <v>0.004349927501</v>
      </c>
      <c r="V36" s="7">
        <f t="shared" si="11"/>
        <v>0</v>
      </c>
      <c r="W36" s="13" t="b">
        <f t="shared" si="12"/>
        <v>1</v>
      </c>
      <c r="X36" s="13">
        <f t="shared" si="13"/>
        <v>3600</v>
      </c>
      <c r="Y36" s="7">
        <f t="shared" si="14"/>
        <v>0</v>
      </c>
      <c r="Z36" s="7">
        <f t="shared" si="15"/>
        <v>0.00828460039</v>
      </c>
      <c r="AA36" s="13" t="b">
        <f t="shared" si="16"/>
        <v>1</v>
      </c>
      <c r="AB36" s="13">
        <f t="shared" si="17"/>
        <v>207.38</v>
      </c>
    </row>
    <row r="37">
      <c r="A37" s="1" t="s">
        <v>42</v>
      </c>
      <c r="B37" s="12">
        <v>1608.0</v>
      </c>
      <c r="C37" s="12">
        <v>1684.0</v>
      </c>
      <c r="D37" s="7">
        <f t="shared" si="1"/>
        <v>0.04726368159</v>
      </c>
      <c r="E37" s="9">
        <v>3600.0</v>
      </c>
      <c r="F37" s="9">
        <v>1623.0</v>
      </c>
      <c r="G37" s="9">
        <v>1623.0</v>
      </c>
      <c r="H37" s="7">
        <f t="shared" si="2"/>
        <v>0</v>
      </c>
      <c r="I37" s="9">
        <v>384.13</v>
      </c>
      <c r="J37" s="9">
        <v>1623.0</v>
      </c>
      <c r="K37" s="9">
        <v>1623.0</v>
      </c>
      <c r="L37" s="9">
        <v>21.31</v>
      </c>
      <c r="M37" s="13">
        <f t="shared" si="3"/>
        <v>1623</v>
      </c>
      <c r="N37" s="13">
        <f t="shared" si="4"/>
        <v>1623</v>
      </c>
      <c r="O37" s="7">
        <f t="shared" si="5"/>
        <v>0</v>
      </c>
      <c r="Q37" s="7">
        <f t="shared" si="6"/>
        <v>0.04726368159</v>
      </c>
      <c r="R37" s="7">
        <f t="shared" si="7"/>
        <v>0.009328358209</v>
      </c>
      <c r="S37" s="13" t="b">
        <f t="shared" si="8"/>
        <v>0</v>
      </c>
      <c r="T37" s="13">
        <f t="shared" si="9"/>
        <v>3600</v>
      </c>
      <c r="U37" s="7">
        <f t="shared" si="10"/>
        <v>0</v>
      </c>
      <c r="V37" s="7">
        <f t="shared" si="11"/>
        <v>0</v>
      </c>
      <c r="W37" s="13" t="b">
        <f t="shared" si="12"/>
        <v>1</v>
      </c>
      <c r="X37" s="13">
        <f t="shared" si="13"/>
        <v>384.13</v>
      </c>
      <c r="Y37" s="7">
        <f t="shared" si="14"/>
        <v>0</v>
      </c>
      <c r="Z37" s="7">
        <f t="shared" si="15"/>
        <v>0</v>
      </c>
      <c r="AA37" s="13" t="b">
        <f t="shared" si="16"/>
        <v>1</v>
      </c>
      <c r="AB37" s="13">
        <f t="shared" si="17"/>
        <v>21.31</v>
      </c>
    </row>
    <row r="38">
      <c r="A38" s="1" t="s">
        <v>43</v>
      </c>
      <c r="B38" s="12">
        <v>2077.0</v>
      </c>
      <c r="C38" s="12">
        <v>2083.0</v>
      </c>
      <c r="D38" s="7">
        <f t="shared" si="1"/>
        <v>0.002888781897</v>
      </c>
      <c r="E38" s="9">
        <v>3600.0</v>
      </c>
      <c r="F38" s="9">
        <v>2077.0</v>
      </c>
      <c r="G38" s="9">
        <v>2077.0</v>
      </c>
      <c r="H38" s="7">
        <f t="shared" si="2"/>
        <v>0</v>
      </c>
      <c r="I38" s="9">
        <v>201.03</v>
      </c>
      <c r="J38" s="9">
        <v>2077.0</v>
      </c>
      <c r="K38" s="9">
        <v>2077.0</v>
      </c>
      <c r="L38" s="9">
        <v>49.32</v>
      </c>
      <c r="M38" s="13">
        <f t="shared" si="3"/>
        <v>2077</v>
      </c>
      <c r="N38" s="13">
        <f t="shared" si="4"/>
        <v>2077</v>
      </c>
      <c r="O38" s="7">
        <f t="shared" si="5"/>
        <v>0</v>
      </c>
      <c r="Q38" s="7">
        <f t="shared" si="6"/>
        <v>0.002888781897</v>
      </c>
      <c r="R38" s="7">
        <f t="shared" si="7"/>
        <v>0</v>
      </c>
      <c r="S38" s="13" t="b">
        <f t="shared" si="8"/>
        <v>1</v>
      </c>
      <c r="T38" s="13">
        <f t="shared" si="9"/>
        <v>3600</v>
      </c>
      <c r="U38" s="7">
        <f t="shared" si="10"/>
        <v>0</v>
      </c>
      <c r="V38" s="7">
        <f t="shared" si="11"/>
        <v>0</v>
      </c>
      <c r="W38" s="13" t="b">
        <f t="shared" si="12"/>
        <v>1</v>
      </c>
      <c r="X38" s="13">
        <f t="shared" si="13"/>
        <v>201.03</v>
      </c>
      <c r="Y38" s="7">
        <f t="shared" si="14"/>
        <v>0</v>
      </c>
      <c r="Z38" s="7">
        <f t="shared" si="15"/>
        <v>0</v>
      </c>
      <c r="AA38" s="13" t="b">
        <f t="shared" si="16"/>
        <v>1</v>
      </c>
      <c r="AB38" s="13">
        <f t="shared" si="17"/>
        <v>49.32</v>
      </c>
    </row>
    <row r="39">
      <c r="A39" s="1" t="s">
        <v>44</v>
      </c>
      <c r="B39" s="12">
        <v>2848.0</v>
      </c>
      <c r="C39" s="12">
        <v>3054.0</v>
      </c>
      <c r="D39" s="7">
        <f t="shared" si="1"/>
        <v>0.07233146067</v>
      </c>
      <c r="E39" s="9">
        <v>3600.0</v>
      </c>
      <c r="F39" s="9">
        <v>2848.0</v>
      </c>
      <c r="G39" s="9">
        <v>2863.0</v>
      </c>
      <c r="H39" s="7">
        <f t="shared" si="2"/>
        <v>0.005266853933</v>
      </c>
      <c r="I39" s="9">
        <v>3600.0</v>
      </c>
      <c r="J39" s="9">
        <v>2851.0</v>
      </c>
      <c r="K39" s="9">
        <v>2850.7</v>
      </c>
      <c r="L39" s="9">
        <v>61.1</v>
      </c>
      <c r="M39" s="13">
        <f t="shared" si="3"/>
        <v>2851</v>
      </c>
      <c r="N39" s="13">
        <f t="shared" si="4"/>
        <v>2863</v>
      </c>
      <c r="O39" s="7">
        <f t="shared" si="5"/>
        <v>0.004209049456</v>
      </c>
      <c r="Q39" s="7">
        <f t="shared" si="6"/>
        <v>0.07233146067</v>
      </c>
      <c r="R39" s="7">
        <f t="shared" si="7"/>
        <v>0.001053370787</v>
      </c>
      <c r="S39" s="13" t="b">
        <f t="shared" si="8"/>
        <v>0</v>
      </c>
      <c r="T39" s="13">
        <f t="shared" si="9"/>
        <v>3600</v>
      </c>
      <c r="U39" s="7">
        <f t="shared" si="10"/>
        <v>0.005266853933</v>
      </c>
      <c r="V39" s="7">
        <f t="shared" si="11"/>
        <v>0.001053370787</v>
      </c>
      <c r="W39" s="13" t="b">
        <f t="shared" si="12"/>
        <v>0</v>
      </c>
      <c r="X39" s="13">
        <f t="shared" si="13"/>
        <v>3600</v>
      </c>
      <c r="Y39" s="7">
        <f t="shared" si="14"/>
        <v>0</v>
      </c>
      <c r="Z39" s="7">
        <f t="shared" si="15"/>
        <v>0.0001052373101</v>
      </c>
      <c r="AA39" s="13" t="b">
        <f t="shared" si="16"/>
        <v>1</v>
      </c>
      <c r="AB39" s="13">
        <f t="shared" si="17"/>
        <v>61.1</v>
      </c>
    </row>
    <row r="40">
      <c r="A40" s="1" t="s">
        <v>45</v>
      </c>
      <c r="B40" s="12">
        <v>1642.0</v>
      </c>
      <c r="C40" s="12">
        <v>1642.0</v>
      </c>
      <c r="D40" s="7">
        <f t="shared" si="1"/>
        <v>0</v>
      </c>
      <c r="E40" s="9">
        <v>1779.63</v>
      </c>
      <c r="F40" s="9">
        <v>1642.0</v>
      </c>
      <c r="G40" s="9">
        <v>1642.0</v>
      </c>
      <c r="H40" s="7">
        <f t="shared" si="2"/>
        <v>0</v>
      </c>
      <c r="I40" s="9">
        <v>144.58</v>
      </c>
      <c r="J40" s="9">
        <v>1642.0</v>
      </c>
      <c r="K40" s="9">
        <v>1642.0</v>
      </c>
      <c r="L40" s="9">
        <v>7.12</v>
      </c>
      <c r="M40" s="13">
        <f t="shared" si="3"/>
        <v>1642</v>
      </c>
      <c r="N40" s="13">
        <f t="shared" si="4"/>
        <v>1642</v>
      </c>
      <c r="O40" s="7">
        <f t="shared" si="5"/>
        <v>0</v>
      </c>
      <c r="Q40" s="7">
        <f t="shared" si="6"/>
        <v>0</v>
      </c>
      <c r="R40" s="7">
        <f t="shared" si="7"/>
        <v>0</v>
      </c>
      <c r="S40" s="13" t="b">
        <f t="shared" si="8"/>
        <v>1</v>
      </c>
      <c r="T40" s="13">
        <f t="shared" si="9"/>
        <v>1779.63</v>
      </c>
      <c r="U40" s="7">
        <f t="shared" si="10"/>
        <v>0</v>
      </c>
      <c r="V40" s="7">
        <f t="shared" si="11"/>
        <v>0</v>
      </c>
      <c r="W40" s="13" t="b">
        <f t="shared" si="12"/>
        <v>1</v>
      </c>
      <c r="X40" s="13">
        <f t="shared" si="13"/>
        <v>144.58</v>
      </c>
      <c r="Y40" s="7">
        <f t="shared" si="14"/>
        <v>0</v>
      </c>
      <c r="Z40" s="7">
        <f t="shared" si="15"/>
        <v>0</v>
      </c>
      <c r="AA40" s="13" t="b">
        <f t="shared" si="16"/>
        <v>1</v>
      </c>
      <c r="AB40" s="13">
        <f t="shared" si="17"/>
        <v>7.12</v>
      </c>
    </row>
    <row r="41">
      <c r="A41" s="1" t="s">
        <v>46</v>
      </c>
      <c r="B41" s="12">
        <v>1811.0</v>
      </c>
      <c r="C41" s="12">
        <v>2376.0</v>
      </c>
      <c r="D41" s="7">
        <f t="shared" si="1"/>
        <v>0.3119823302</v>
      </c>
      <c r="E41" s="9">
        <v>3600.0</v>
      </c>
      <c r="F41" s="9">
        <v>1811.0</v>
      </c>
      <c r="G41" s="9">
        <v>1811.0</v>
      </c>
      <c r="H41" s="7">
        <f t="shared" si="2"/>
        <v>0</v>
      </c>
      <c r="I41" s="9">
        <v>2848.0</v>
      </c>
      <c r="J41" s="9">
        <v>1811.0</v>
      </c>
      <c r="K41" s="9">
        <v>1811.0</v>
      </c>
      <c r="L41" s="9">
        <v>7.09</v>
      </c>
      <c r="M41" s="13">
        <f t="shared" si="3"/>
        <v>1811</v>
      </c>
      <c r="N41" s="13">
        <f t="shared" si="4"/>
        <v>1811</v>
      </c>
      <c r="O41" s="7">
        <f t="shared" si="5"/>
        <v>0</v>
      </c>
      <c r="Q41" s="7">
        <f t="shared" si="6"/>
        <v>0.3119823302</v>
      </c>
      <c r="R41" s="7">
        <f t="shared" si="7"/>
        <v>0</v>
      </c>
      <c r="S41" s="13" t="b">
        <f t="shared" si="8"/>
        <v>1</v>
      </c>
      <c r="T41" s="13">
        <f t="shared" si="9"/>
        <v>3600</v>
      </c>
      <c r="U41" s="7">
        <f t="shared" si="10"/>
        <v>0</v>
      </c>
      <c r="V41" s="7">
        <f t="shared" si="11"/>
        <v>0</v>
      </c>
      <c r="W41" s="13" t="b">
        <f t="shared" si="12"/>
        <v>1</v>
      </c>
      <c r="X41" s="13">
        <f t="shared" si="13"/>
        <v>2848</v>
      </c>
      <c r="Y41" s="7">
        <f t="shared" si="14"/>
        <v>0</v>
      </c>
      <c r="Z41" s="7">
        <f t="shared" si="15"/>
        <v>0</v>
      </c>
      <c r="AA41" s="13" t="b">
        <f t="shared" si="16"/>
        <v>1</v>
      </c>
      <c r="AB41" s="13">
        <f t="shared" si="17"/>
        <v>7.09</v>
      </c>
    </row>
    <row r="42">
      <c r="A42" s="1" t="s">
        <v>47</v>
      </c>
      <c r="B42" s="12">
        <v>3063.0</v>
      </c>
      <c r="C42" s="12">
        <v>3072.0</v>
      </c>
      <c r="D42" s="7">
        <f t="shared" si="1"/>
        <v>0.002938295788</v>
      </c>
      <c r="E42" s="9">
        <v>3600.0</v>
      </c>
      <c r="F42" s="9">
        <v>3072.0</v>
      </c>
      <c r="G42" s="9">
        <v>3072.0</v>
      </c>
      <c r="H42" s="7">
        <f t="shared" si="2"/>
        <v>0</v>
      </c>
      <c r="I42" s="9">
        <v>128.35</v>
      </c>
      <c r="J42" s="9">
        <v>3072.0</v>
      </c>
      <c r="K42" s="9">
        <v>3070.2</v>
      </c>
      <c r="L42" s="9">
        <v>84.46</v>
      </c>
      <c r="M42" s="13">
        <f t="shared" si="3"/>
        <v>3072</v>
      </c>
      <c r="N42" s="13">
        <f t="shared" si="4"/>
        <v>3072</v>
      </c>
      <c r="O42" s="7">
        <f t="shared" si="5"/>
        <v>0</v>
      </c>
      <c r="Q42" s="7">
        <f t="shared" si="6"/>
        <v>0.002938295788</v>
      </c>
      <c r="R42" s="7">
        <f t="shared" si="7"/>
        <v>0.002938295788</v>
      </c>
      <c r="S42" s="13" t="b">
        <f t="shared" si="8"/>
        <v>0</v>
      </c>
      <c r="T42" s="13">
        <f t="shared" si="9"/>
        <v>3600</v>
      </c>
      <c r="U42" s="7">
        <f t="shared" si="10"/>
        <v>0</v>
      </c>
      <c r="V42" s="7">
        <f t="shared" si="11"/>
        <v>0</v>
      </c>
      <c r="W42" s="13" t="b">
        <f t="shared" si="12"/>
        <v>1</v>
      </c>
      <c r="X42" s="13">
        <f t="shared" si="13"/>
        <v>128.35</v>
      </c>
      <c r="Y42" s="7">
        <f t="shared" si="14"/>
        <v>0</v>
      </c>
      <c r="Z42" s="7">
        <f t="shared" si="15"/>
        <v>0.000586281024</v>
      </c>
      <c r="AA42" s="13" t="b">
        <f t="shared" si="16"/>
        <v>1</v>
      </c>
      <c r="AB42" s="13">
        <f t="shared" si="17"/>
        <v>84.46</v>
      </c>
    </row>
    <row r="43">
      <c r="A43" s="1" t="s">
        <v>48</v>
      </c>
      <c r="B43" s="12">
        <v>3030.0</v>
      </c>
      <c r="C43" s="12">
        <v>3034.0</v>
      </c>
      <c r="D43" s="7">
        <f t="shared" si="1"/>
        <v>0.001320132013</v>
      </c>
      <c r="E43" s="9">
        <v>3600.0</v>
      </c>
      <c r="F43" s="9">
        <v>3032.0</v>
      </c>
      <c r="G43" s="9">
        <v>3034.0</v>
      </c>
      <c r="H43" s="7">
        <f t="shared" si="2"/>
        <v>0.0006596306069</v>
      </c>
      <c r="I43" s="9">
        <v>3600.0</v>
      </c>
      <c r="J43" s="9">
        <v>3032.0</v>
      </c>
      <c r="K43" s="9">
        <v>3031.1</v>
      </c>
      <c r="L43" s="9">
        <v>563.59</v>
      </c>
      <c r="M43" s="13">
        <f t="shared" si="3"/>
        <v>3032</v>
      </c>
      <c r="N43" s="13">
        <f t="shared" si="4"/>
        <v>3034</v>
      </c>
      <c r="O43" s="7">
        <f t="shared" si="5"/>
        <v>0.0006596306069</v>
      </c>
      <c r="Q43" s="7">
        <f t="shared" si="6"/>
        <v>0.001320132013</v>
      </c>
      <c r="R43" s="7">
        <f t="shared" si="7"/>
        <v>0.0006600660066</v>
      </c>
      <c r="S43" s="13" t="b">
        <f t="shared" si="8"/>
        <v>0</v>
      </c>
      <c r="T43" s="13">
        <f t="shared" si="9"/>
        <v>3600</v>
      </c>
      <c r="U43" s="7">
        <f t="shared" si="10"/>
        <v>0.0006596306069</v>
      </c>
      <c r="V43" s="7">
        <f t="shared" si="11"/>
        <v>0</v>
      </c>
      <c r="W43" s="13" t="b">
        <f t="shared" si="12"/>
        <v>1</v>
      </c>
      <c r="X43" s="13">
        <f t="shared" si="13"/>
        <v>3600</v>
      </c>
      <c r="Y43" s="7">
        <f t="shared" si="14"/>
        <v>0</v>
      </c>
      <c r="Z43" s="7">
        <f t="shared" si="15"/>
        <v>0.0002969219095</v>
      </c>
      <c r="AA43" s="13" t="b">
        <f t="shared" si="16"/>
        <v>1</v>
      </c>
      <c r="AB43" s="13">
        <f t="shared" si="17"/>
        <v>563.59</v>
      </c>
    </row>
    <row r="44">
      <c r="A44" s="1" t="s">
        <v>49</v>
      </c>
      <c r="B44" s="12">
        <v>2687.0</v>
      </c>
      <c r="C44" s="12">
        <v>2803.0</v>
      </c>
      <c r="D44" s="7">
        <f t="shared" si="1"/>
        <v>0.04317082248</v>
      </c>
      <c r="E44" s="9">
        <v>3600.0</v>
      </c>
      <c r="F44" s="9">
        <v>2748.0</v>
      </c>
      <c r="G44" s="9">
        <v>2748.0</v>
      </c>
      <c r="H44" s="7">
        <f t="shared" si="2"/>
        <v>0</v>
      </c>
      <c r="I44" s="9">
        <v>751.42</v>
      </c>
      <c r="J44" s="9">
        <v>2742.0</v>
      </c>
      <c r="K44" s="9">
        <v>2736.2</v>
      </c>
      <c r="L44" s="9">
        <v>178.79</v>
      </c>
      <c r="M44" s="13">
        <f t="shared" si="3"/>
        <v>2748</v>
      </c>
      <c r="N44" s="13">
        <f t="shared" si="4"/>
        <v>2748</v>
      </c>
      <c r="O44" s="7">
        <f t="shared" si="5"/>
        <v>0</v>
      </c>
      <c r="Q44" s="7">
        <f t="shared" si="6"/>
        <v>0.04317082248</v>
      </c>
      <c r="R44" s="7">
        <f t="shared" si="7"/>
        <v>0.02270189803</v>
      </c>
      <c r="S44" s="13" t="b">
        <f t="shared" si="8"/>
        <v>0</v>
      </c>
      <c r="T44" s="13">
        <f t="shared" si="9"/>
        <v>3600</v>
      </c>
      <c r="U44" s="7">
        <f t="shared" si="10"/>
        <v>0</v>
      </c>
      <c r="V44" s="7">
        <f t="shared" si="11"/>
        <v>0</v>
      </c>
      <c r="W44" s="13" t="b">
        <f t="shared" si="12"/>
        <v>1</v>
      </c>
      <c r="X44" s="13">
        <f t="shared" si="13"/>
        <v>751.42</v>
      </c>
      <c r="Y44" s="7">
        <f t="shared" si="14"/>
        <v>0.002188183807</v>
      </c>
      <c r="Z44" s="7">
        <f t="shared" si="15"/>
        <v>0.004312550252</v>
      </c>
      <c r="AA44" s="13" t="b">
        <f t="shared" si="16"/>
        <v>0</v>
      </c>
      <c r="AB44" s="13">
        <f t="shared" si="17"/>
        <v>178.79</v>
      </c>
    </row>
    <row r="45">
      <c r="A45" s="1" t="s">
        <v>50</v>
      </c>
      <c r="B45" s="12">
        <v>3048.0</v>
      </c>
      <c r="C45" s="12">
        <v>3091.0</v>
      </c>
      <c r="D45" s="7">
        <f t="shared" si="1"/>
        <v>0.01410761155</v>
      </c>
      <c r="E45" s="9">
        <v>3600.0</v>
      </c>
      <c r="F45" s="9">
        <v>3064.0</v>
      </c>
      <c r="G45" s="9">
        <v>3070.0</v>
      </c>
      <c r="H45" s="7">
        <f t="shared" si="2"/>
        <v>0.001958224543</v>
      </c>
      <c r="I45" s="9">
        <v>3600.0</v>
      </c>
      <c r="J45" s="9">
        <v>3070.0</v>
      </c>
      <c r="K45" s="9">
        <v>3066.6</v>
      </c>
      <c r="L45" s="9">
        <v>280.59</v>
      </c>
      <c r="M45" s="13">
        <f t="shared" si="3"/>
        <v>3070</v>
      </c>
      <c r="N45" s="13">
        <f t="shared" si="4"/>
        <v>3070</v>
      </c>
      <c r="O45" s="7">
        <f t="shared" si="5"/>
        <v>0</v>
      </c>
      <c r="Q45" s="7">
        <f t="shared" si="6"/>
        <v>0.01410761155</v>
      </c>
      <c r="R45" s="7">
        <f t="shared" si="7"/>
        <v>0.007217847769</v>
      </c>
      <c r="S45" s="13" t="b">
        <f t="shared" si="8"/>
        <v>0</v>
      </c>
      <c r="T45" s="13">
        <f t="shared" si="9"/>
        <v>3600</v>
      </c>
      <c r="U45" s="7">
        <f t="shared" si="10"/>
        <v>0.001958224543</v>
      </c>
      <c r="V45" s="7">
        <f t="shared" si="11"/>
        <v>0.001958224543</v>
      </c>
      <c r="W45" s="13" t="b">
        <f t="shared" si="12"/>
        <v>0</v>
      </c>
      <c r="X45" s="13">
        <f t="shared" si="13"/>
        <v>3600</v>
      </c>
      <c r="Y45" s="7">
        <f t="shared" si="14"/>
        <v>0</v>
      </c>
      <c r="Z45" s="7">
        <f t="shared" si="15"/>
        <v>0.001108719755</v>
      </c>
      <c r="AA45" s="13" t="b">
        <f t="shared" si="16"/>
        <v>1</v>
      </c>
      <c r="AB45" s="13">
        <f t="shared" si="17"/>
        <v>280.59</v>
      </c>
    </row>
    <row r="46">
      <c r="A46" s="1" t="s">
        <v>51</v>
      </c>
      <c r="B46" s="12">
        <v>2506.0</v>
      </c>
      <c r="C46" s="12">
        <v>3035.0</v>
      </c>
      <c r="D46" s="7">
        <f t="shared" si="1"/>
        <v>0.2110933759</v>
      </c>
      <c r="E46" s="9">
        <v>3600.0</v>
      </c>
      <c r="F46" s="9">
        <v>2540.0</v>
      </c>
      <c r="G46" s="9">
        <v>2587.0</v>
      </c>
      <c r="H46" s="7">
        <f t="shared" si="2"/>
        <v>0.01850393701</v>
      </c>
      <c r="I46" s="9">
        <v>3600.0</v>
      </c>
      <c r="J46" s="9">
        <v>2540.0</v>
      </c>
      <c r="K46" s="9">
        <v>2540.0</v>
      </c>
      <c r="L46" s="9">
        <v>178.28</v>
      </c>
      <c r="M46" s="13">
        <f t="shared" si="3"/>
        <v>2540</v>
      </c>
      <c r="N46" s="13">
        <f t="shared" si="4"/>
        <v>2587</v>
      </c>
      <c r="O46" s="7">
        <f t="shared" si="5"/>
        <v>0.01850393701</v>
      </c>
      <c r="Q46" s="7">
        <f t="shared" si="6"/>
        <v>0.2110933759</v>
      </c>
      <c r="R46" s="7">
        <f t="shared" si="7"/>
        <v>0.01356743815</v>
      </c>
      <c r="S46" s="13" t="b">
        <f t="shared" si="8"/>
        <v>0</v>
      </c>
      <c r="T46" s="13">
        <f t="shared" si="9"/>
        <v>3600</v>
      </c>
      <c r="U46" s="7">
        <f t="shared" si="10"/>
        <v>0.01850393701</v>
      </c>
      <c r="V46" s="7">
        <f t="shared" si="11"/>
        <v>0</v>
      </c>
      <c r="W46" s="13" t="b">
        <f t="shared" si="12"/>
        <v>1</v>
      </c>
      <c r="X46" s="13">
        <f t="shared" si="13"/>
        <v>3600</v>
      </c>
      <c r="Y46" s="7">
        <f t="shared" si="14"/>
        <v>0</v>
      </c>
      <c r="Z46" s="7">
        <f t="shared" si="15"/>
        <v>0</v>
      </c>
      <c r="AA46" s="13" t="b">
        <f t="shared" si="16"/>
        <v>1</v>
      </c>
      <c r="AB46" s="13">
        <f t="shared" si="17"/>
        <v>178.28</v>
      </c>
    </row>
    <row r="47">
      <c r="A47" s="1" t="s">
        <v>52</v>
      </c>
      <c r="B47" s="12">
        <v>2615.0</v>
      </c>
      <c r="C47" s="12">
        <v>2696.0</v>
      </c>
      <c r="D47" s="7">
        <f t="shared" si="1"/>
        <v>0.0309751434</v>
      </c>
      <c r="E47" s="9">
        <v>3600.0</v>
      </c>
      <c r="F47" s="9">
        <v>2654.0</v>
      </c>
      <c r="G47" s="9">
        <v>2654.0</v>
      </c>
      <c r="H47" s="7">
        <f t="shared" si="2"/>
        <v>0</v>
      </c>
      <c r="I47" s="9">
        <v>285.36</v>
      </c>
      <c r="J47" s="9">
        <v>2654.0</v>
      </c>
      <c r="K47" s="9">
        <v>2654.0</v>
      </c>
      <c r="L47" s="9">
        <v>155.71</v>
      </c>
      <c r="M47" s="13">
        <f t="shared" si="3"/>
        <v>2654</v>
      </c>
      <c r="N47" s="13">
        <f t="shared" si="4"/>
        <v>2654</v>
      </c>
      <c r="O47" s="7">
        <f t="shared" si="5"/>
        <v>0</v>
      </c>
      <c r="Q47" s="7">
        <f t="shared" si="6"/>
        <v>0.0309751434</v>
      </c>
      <c r="R47" s="7">
        <f t="shared" si="7"/>
        <v>0.01491395793</v>
      </c>
      <c r="S47" s="13" t="b">
        <f t="shared" si="8"/>
        <v>0</v>
      </c>
      <c r="T47" s="13">
        <f t="shared" si="9"/>
        <v>3600</v>
      </c>
      <c r="U47" s="7">
        <f t="shared" si="10"/>
        <v>0</v>
      </c>
      <c r="V47" s="7">
        <f t="shared" si="11"/>
        <v>0</v>
      </c>
      <c r="W47" s="13" t="b">
        <f t="shared" si="12"/>
        <v>1</v>
      </c>
      <c r="X47" s="13">
        <f t="shared" si="13"/>
        <v>285.36</v>
      </c>
      <c r="Y47" s="7">
        <f t="shared" si="14"/>
        <v>0</v>
      </c>
      <c r="Z47" s="7">
        <f t="shared" si="15"/>
        <v>0</v>
      </c>
      <c r="AA47" s="13" t="b">
        <f t="shared" si="16"/>
        <v>1</v>
      </c>
      <c r="AB47" s="13">
        <f t="shared" si="17"/>
        <v>155.71</v>
      </c>
    </row>
    <row r="48">
      <c r="A48" s="1" t="s">
        <v>53</v>
      </c>
      <c r="B48" s="12">
        <v>3172.0</v>
      </c>
      <c r="C48" s="12">
        <v>3292.0</v>
      </c>
      <c r="D48" s="7">
        <f t="shared" si="1"/>
        <v>0.03783102144</v>
      </c>
      <c r="E48" s="9">
        <v>3600.0</v>
      </c>
      <c r="F48" s="9">
        <v>3209.0</v>
      </c>
      <c r="G48" s="9">
        <v>3209.0</v>
      </c>
      <c r="H48" s="7">
        <f t="shared" si="2"/>
        <v>0</v>
      </c>
      <c r="I48" s="9">
        <v>1106.79</v>
      </c>
      <c r="J48" s="9">
        <v>3209.0</v>
      </c>
      <c r="K48" s="9">
        <v>3209.0</v>
      </c>
      <c r="L48" s="9">
        <v>187.36</v>
      </c>
      <c r="M48" s="13">
        <f t="shared" si="3"/>
        <v>3209</v>
      </c>
      <c r="N48" s="13">
        <f t="shared" si="4"/>
        <v>3209</v>
      </c>
      <c r="O48" s="7">
        <f t="shared" si="5"/>
        <v>0</v>
      </c>
      <c r="Q48" s="7">
        <f t="shared" si="6"/>
        <v>0.03783102144</v>
      </c>
      <c r="R48" s="7">
        <f t="shared" si="7"/>
        <v>0.01166456494</v>
      </c>
      <c r="S48" s="13" t="b">
        <f t="shared" si="8"/>
        <v>0</v>
      </c>
      <c r="T48" s="13">
        <f t="shared" si="9"/>
        <v>3600</v>
      </c>
      <c r="U48" s="7">
        <f t="shared" si="10"/>
        <v>0</v>
      </c>
      <c r="V48" s="7">
        <f t="shared" si="11"/>
        <v>0</v>
      </c>
      <c r="W48" s="13" t="b">
        <f t="shared" si="12"/>
        <v>1</v>
      </c>
      <c r="X48" s="13">
        <f t="shared" si="13"/>
        <v>1106.79</v>
      </c>
      <c r="Y48" s="7">
        <f t="shared" si="14"/>
        <v>0</v>
      </c>
      <c r="Z48" s="7">
        <f t="shared" si="15"/>
        <v>0</v>
      </c>
      <c r="AA48" s="13" t="b">
        <f t="shared" si="16"/>
        <v>1</v>
      </c>
      <c r="AB48" s="13">
        <f t="shared" si="17"/>
        <v>187.36</v>
      </c>
    </row>
    <row r="49">
      <c r="A49" s="1" t="s">
        <v>54</v>
      </c>
      <c r="B49" s="12">
        <v>3598.0</v>
      </c>
      <c r="C49" s="12">
        <v>3614.0</v>
      </c>
      <c r="D49" s="7">
        <f t="shared" si="1"/>
        <v>0.004446914953</v>
      </c>
      <c r="E49" s="9">
        <v>3600.0</v>
      </c>
      <c r="F49" s="9">
        <v>3614.0</v>
      </c>
      <c r="G49" s="9">
        <v>3614.0</v>
      </c>
      <c r="H49" s="7">
        <f t="shared" si="2"/>
        <v>0</v>
      </c>
      <c r="I49" s="9">
        <v>116.73</v>
      </c>
      <c r="J49" s="9">
        <v>3614.0</v>
      </c>
      <c r="K49" s="9">
        <v>3611.2</v>
      </c>
      <c r="L49" s="9">
        <v>82.81</v>
      </c>
      <c r="M49" s="13">
        <f t="shared" si="3"/>
        <v>3614</v>
      </c>
      <c r="N49" s="13">
        <f t="shared" si="4"/>
        <v>3614</v>
      </c>
      <c r="O49" s="7">
        <f t="shared" si="5"/>
        <v>0</v>
      </c>
      <c r="Q49" s="7">
        <f t="shared" si="6"/>
        <v>0.004446914953</v>
      </c>
      <c r="R49" s="7">
        <f t="shared" si="7"/>
        <v>0.004446914953</v>
      </c>
      <c r="S49" s="13" t="b">
        <f t="shared" si="8"/>
        <v>0</v>
      </c>
      <c r="T49" s="13">
        <f t="shared" si="9"/>
        <v>3600</v>
      </c>
      <c r="U49" s="7">
        <f t="shared" si="10"/>
        <v>0</v>
      </c>
      <c r="V49" s="7">
        <f t="shared" si="11"/>
        <v>0</v>
      </c>
      <c r="W49" s="13" t="b">
        <f t="shared" si="12"/>
        <v>1</v>
      </c>
      <c r="X49" s="13">
        <f t="shared" si="13"/>
        <v>116.73</v>
      </c>
      <c r="Y49" s="7">
        <f t="shared" si="14"/>
        <v>0</v>
      </c>
      <c r="Z49" s="7">
        <f t="shared" si="15"/>
        <v>0.0007753655295</v>
      </c>
      <c r="AA49" s="13" t="b">
        <f t="shared" si="16"/>
        <v>1</v>
      </c>
      <c r="AB49" s="13">
        <f t="shared" si="17"/>
        <v>82.81</v>
      </c>
    </row>
    <row r="50">
      <c r="A50" s="1" t="s">
        <v>55</v>
      </c>
      <c r="B50" s="12">
        <v>4097.0</v>
      </c>
      <c r="C50" s="12">
        <v>4624.0</v>
      </c>
      <c r="D50" s="7">
        <f t="shared" si="1"/>
        <v>0.1286307054</v>
      </c>
      <c r="E50" s="9">
        <v>3600.0</v>
      </c>
      <c r="F50" s="9">
        <v>4198.0</v>
      </c>
      <c r="G50" s="9">
        <v>4378.0</v>
      </c>
      <c r="H50" s="7">
        <f t="shared" si="2"/>
        <v>0.04287756074</v>
      </c>
      <c r="I50" s="9">
        <v>3600.0</v>
      </c>
      <c r="J50" s="9">
        <v>4262.0</v>
      </c>
      <c r="K50" s="9">
        <v>4261.3</v>
      </c>
      <c r="L50" s="9">
        <v>122.55</v>
      </c>
      <c r="M50" s="13">
        <f t="shared" si="3"/>
        <v>4262</v>
      </c>
      <c r="N50" s="13">
        <f t="shared" si="4"/>
        <v>4378</v>
      </c>
      <c r="O50" s="7">
        <f t="shared" si="5"/>
        <v>0.02721726889</v>
      </c>
      <c r="Q50" s="7">
        <f t="shared" si="6"/>
        <v>0.1286307054</v>
      </c>
      <c r="R50" s="7">
        <f t="shared" si="7"/>
        <v>0.04027337076</v>
      </c>
      <c r="S50" s="13" t="b">
        <f t="shared" si="8"/>
        <v>0</v>
      </c>
      <c r="T50" s="13">
        <f t="shared" si="9"/>
        <v>3600</v>
      </c>
      <c r="U50" s="7">
        <f t="shared" si="10"/>
        <v>0.04287756074</v>
      </c>
      <c r="V50" s="7">
        <f t="shared" si="11"/>
        <v>0.01524535493</v>
      </c>
      <c r="W50" s="13" t="b">
        <f t="shared" si="12"/>
        <v>0</v>
      </c>
      <c r="X50" s="13">
        <f t="shared" si="13"/>
        <v>3600</v>
      </c>
      <c r="Y50" s="7">
        <f t="shared" si="14"/>
        <v>0</v>
      </c>
      <c r="Z50" s="7">
        <f t="shared" si="15"/>
        <v>0.0001642691198</v>
      </c>
      <c r="AA50" s="13" t="b">
        <f t="shared" si="16"/>
        <v>1</v>
      </c>
      <c r="AB50" s="13">
        <f t="shared" si="17"/>
        <v>122.55</v>
      </c>
    </row>
    <row r="51">
      <c r="A51" s="1" t="s">
        <v>56</v>
      </c>
      <c r="B51" s="12">
        <v>4265.0</v>
      </c>
      <c r="C51" s="12">
        <v>4390.0</v>
      </c>
      <c r="D51" s="7">
        <f t="shared" si="1"/>
        <v>0.02930832356</v>
      </c>
      <c r="E51" s="9">
        <v>3600.0</v>
      </c>
      <c r="F51" s="9">
        <v>4364.0</v>
      </c>
      <c r="G51" s="9">
        <v>4372.0</v>
      </c>
      <c r="H51" s="7">
        <f t="shared" si="2"/>
        <v>0.001833180568</v>
      </c>
      <c r="I51" s="9">
        <v>3600.0</v>
      </c>
      <c r="J51" s="9">
        <v>4367.0</v>
      </c>
      <c r="K51" s="9">
        <v>4361.7</v>
      </c>
      <c r="L51" s="9">
        <v>1262.22</v>
      </c>
      <c r="M51" s="13">
        <f t="shared" si="3"/>
        <v>4367</v>
      </c>
      <c r="N51" s="13">
        <f t="shared" si="4"/>
        <v>4372</v>
      </c>
      <c r="O51" s="7">
        <f t="shared" si="5"/>
        <v>0.001144950767</v>
      </c>
      <c r="Q51" s="7">
        <f t="shared" si="6"/>
        <v>0.02930832356</v>
      </c>
      <c r="R51" s="7">
        <f t="shared" si="7"/>
        <v>0.02391559203</v>
      </c>
      <c r="S51" s="13" t="b">
        <f t="shared" si="8"/>
        <v>0</v>
      </c>
      <c r="T51" s="13">
        <f t="shared" si="9"/>
        <v>3600</v>
      </c>
      <c r="U51" s="7">
        <f t="shared" si="10"/>
        <v>0.001833180568</v>
      </c>
      <c r="V51" s="7">
        <f t="shared" si="11"/>
        <v>0.0006874427131</v>
      </c>
      <c r="W51" s="13" t="b">
        <f t="shared" si="12"/>
        <v>0</v>
      </c>
      <c r="X51" s="13">
        <f t="shared" si="13"/>
        <v>3600</v>
      </c>
      <c r="Y51" s="7">
        <f t="shared" si="14"/>
        <v>0</v>
      </c>
      <c r="Z51" s="7">
        <f t="shared" si="15"/>
        <v>0.001215122544</v>
      </c>
      <c r="AA51" s="13" t="b">
        <f t="shared" si="16"/>
        <v>1</v>
      </c>
      <c r="AB51" s="13">
        <f t="shared" si="17"/>
        <v>1262.22</v>
      </c>
    </row>
    <row r="52">
      <c r="A52" s="1" t="s">
        <v>57</v>
      </c>
      <c r="B52" s="12">
        <v>4042.0</v>
      </c>
      <c r="C52" s="12">
        <v>4401.0</v>
      </c>
      <c r="D52" s="7">
        <f t="shared" si="1"/>
        <v>0.08881741712</v>
      </c>
      <c r="E52" s="9">
        <v>3600.0</v>
      </c>
      <c r="F52" s="9">
        <v>4287.0</v>
      </c>
      <c r="G52" s="9">
        <v>4346.0</v>
      </c>
      <c r="H52" s="7">
        <f t="shared" si="2"/>
        <v>0.01376253791</v>
      </c>
      <c r="I52" s="9">
        <v>3600.0</v>
      </c>
      <c r="J52" s="9">
        <v>4288.0</v>
      </c>
      <c r="K52" s="9">
        <v>4285.6</v>
      </c>
      <c r="L52" s="9">
        <v>117.56</v>
      </c>
      <c r="M52" s="13">
        <f t="shared" si="3"/>
        <v>4288</v>
      </c>
      <c r="N52" s="13">
        <f t="shared" si="4"/>
        <v>4346</v>
      </c>
      <c r="O52" s="7">
        <f t="shared" si="5"/>
        <v>0.0135261194</v>
      </c>
      <c r="Q52" s="7">
        <f t="shared" si="6"/>
        <v>0.08881741712</v>
      </c>
      <c r="R52" s="7">
        <f t="shared" si="7"/>
        <v>0.06086095992</v>
      </c>
      <c r="S52" s="13" t="b">
        <f t="shared" si="8"/>
        <v>0</v>
      </c>
      <c r="T52" s="13">
        <f t="shared" si="9"/>
        <v>3600</v>
      </c>
      <c r="U52" s="7">
        <f t="shared" si="10"/>
        <v>0.01376253791</v>
      </c>
      <c r="V52" s="7">
        <f t="shared" si="11"/>
        <v>0.0002332633543</v>
      </c>
      <c r="W52" s="13" t="b">
        <f t="shared" si="12"/>
        <v>0</v>
      </c>
      <c r="X52" s="13">
        <f t="shared" si="13"/>
        <v>3600</v>
      </c>
      <c r="Y52" s="7">
        <f t="shared" si="14"/>
        <v>0</v>
      </c>
      <c r="Z52" s="7">
        <f t="shared" si="15"/>
        <v>0.0005600149337</v>
      </c>
      <c r="AA52" s="13" t="b">
        <f t="shared" si="16"/>
        <v>1</v>
      </c>
      <c r="AB52" s="13">
        <f t="shared" si="17"/>
        <v>117.56</v>
      </c>
    </row>
    <row r="53">
      <c r="A53" s="1" t="s">
        <v>58</v>
      </c>
      <c r="B53" s="12">
        <v>3211.0</v>
      </c>
      <c r="C53" s="12">
        <v>4249.0</v>
      </c>
      <c r="D53" s="7">
        <f t="shared" si="1"/>
        <v>0.3232637808</v>
      </c>
      <c r="E53" s="9">
        <v>3600.0</v>
      </c>
      <c r="F53" s="9">
        <v>3333.0</v>
      </c>
      <c r="G53" s="9">
        <v>3848.0</v>
      </c>
      <c r="H53" s="7">
        <f t="shared" si="2"/>
        <v>0.1545154515</v>
      </c>
      <c r="I53" s="9">
        <v>3600.0</v>
      </c>
      <c r="J53" s="9">
        <v>3333.0</v>
      </c>
      <c r="K53" s="9">
        <v>3333.0</v>
      </c>
      <c r="L53" s="9">
        <v>83.93</v>
      </c>
      <c r="M53" s="13">
        <f t="shared" si="3"/>
        <v>3333</v>
      </c>
      <c r="N53" s="13">
        <f t="shared" si="4"/>
        <v>3848</v>
      </c>
      <c r="O53" s="7">
        <f t="shared" si="5"/>
        <v>0.1545154515</v>
      </c>
      <c r="Q53" s="7">
        <f t="shared" si="6"/>
        <v>0.3232637808</v>
      </c>
      <c r="R53" s="7">
        <f t="shared" si="7"/>
        <v>0.03799439427</v>
      </c>
      <c r="S53" s="13" t="b">
        <f t="shared" si="8"/>
        <v>0</v>
      </c>
      <c r="T53" s="13">
        <f t="shared" si="9"/>
        <v>3600</v>
      </c>
      <c r="U53" s="7">
        <f t="shared" si="10"/>
        <v>0.1545154515</v>
      </c>
      <c r="V53" s="7">
        <f t="shared" si="11"/>
        <v>0</v>
      </c>
      <c r="W53" s="13" t="b">
        <f t="shared" si="12"/>
        <v>1</v>
      </c>
      <c r="X53" s="13">
        <f t="shared" si="13"/>
        <v>3600</v>
      </c>
      <c r="Y53" s="7">
        <f t="shared" si="14"/>
        <v>0</v>
      </c>
      <c r="Z53" s="7">
        <f t="shared" si="15"/>
        <v>0</v>
      </c>
      <c r="AA53" s="13" t="b">
        <f t="shared" si="16"/>
        <v>1</v>
      </c>
      <c r="AB53" s="13">
        <f t="shared" si="17"/>
        <v>83.93</v>
      </c>
    </row>
    <row r="54">
      <c r="A54" s="1" t="s">
        <v>59</v>
      </c>
      <c r="B54" s="12">
        <v>4254.0</v>
      </c>
      <c r="C54" s="12">
        <v>4369.0</v>
      </c>
      <c r="D54" s="7">
        <f t="shared" si="1"/>
        <v>0.02703338035</v>
      </c>
      <c r="E54" s="9">
        <v>3600.0</v>
      </c>
      <c r="F54" s="9">
        <v>4316.0</v>
      </c>
      <c r="G54" s="9">
        <v>4351.0</v>
      </c>
      <c r="H54" s="7">
        <f t="shared" si="2"/>
        <v>0.008109360519</v>
      </c>
      <c r="I54" s="9">
        <v>3600.0</v>
      </c>
      <c r="J54" s="9">
        <v>4351.0</v>
      </c>
      <c r="K54" s="9">
        <v>4350.8</v>
      </c>
      <c r="L54" s="9">
        <v>621.8</v>
      </c>
      <c r="M54" s="13">
        <f t="shared" si="3"/>
        <v>4351</v>
      </c>
      <c r="N54" s="13">
        <f t="shared" si="4"/>
        <v>4351</v>
      </c>
      <c r="O54" s="7">
        <f t="shared" si="5"/>
        <v>0</v>
      </c>
      <c r="Q54" s="7">
        <f t="shared" si="6"/>
        <v>0.02703338035</v>
      </c>
      <c r="R54" s="7">
        <f t="shared" si="7"/>
        <v>0.02280206864</v>
      </c>
      <c r="S54" s="13" t="b">
        <f t="shared" si="8"/>
        <v>0</v>
      </c>
      <c r="T54" s="13">
        <f t="shared" si="9"/>
        <v>3600</v>
      </c>
      <c r="U54" s="7">
        <f t="shared" si="10"/>
        <v>0.008109360519</v>
      </c>
      <c r="V54" s="7">
        <f t="shared" si="11"/>
        <v>0.008109360519</v>
      </c>
      <c r="W54" s="13" t="b">
        <f t="shared" si="12"/>
        <v>0</v>
      </c>
      <c r="X54" s="13">
        <f t="shared" si="13"/>
        <v>3600</v>
      </c>
      <c r="Y54" s="7">
        <f t="shared" si="14"/>
        <v>0</v>
      </c>
      <c r="Z54" s="7">
        <f t="shared" si="15"/>
        <v>0.00004596855751</v>
      </c>
      <c r="AA54" s="13" t="b">
        <f t="shared" si="16"/>
        <v>1</v>
      </c>
      <c r="AB54" s="13">
        <f t="shared" si="17"/>
        <v>621.8</v>
      </c>
    </row>
    <row r="55">
      <c r="A55" s="1" t="s">
        <v>60</v>
      </c>
      <c r="B55" s="12">
        <v>3449.0</v>
      </c>
      <c r="C55" s="12">
        <v>4106.0</v>
      </c>
      <c r="D55" s="7">
        <f t="shared" si="1"/>
        <v>0.1904899971</v>
      </c>
      <c r="E55" s="9">
        <v>3600.0</v>
      </c>
      <c r="F55" s="9">
        <v>4051.0</v>
      </c>
      <c r="G55" s="9">
        <v>4051.0</v>
      </c>
      <c r="H55" s="7">
        <f t="shared" si="2"/>
        <v>0</v>
      </c>
      <c r="I55" s="9">
        <v>1113.82</v>
      </c>
      <c r="J55" s="9">
        <v>4051.0</v>
      </c>
      <c r="K55" s="9">
        <v>4015.6</v>
      </c>
      <c r="L55" s="9">
        <v>629.53</v>
      </c>
      <c r="M55" s="13">
        <f t="shared" si="3"/>
        <v>4051</v>
      </c>
      <c r="N55" s="13">
        <f t="shared" si="4"/>
        <v>4051</v>
      </c>
      <c r="O55" s="7">
        <f t="shared" si="5"/>
        <v>0</v>
      </c>
      <c r="Q55" s="7">
        <f t="shared" si="6"/>
        <v>0.1904899971</v>
      </c>
      <c r="R55" s="7">
        <f t="shared" si="7"/>
        <v>0.1745433459</v>
      </c>
      <c r="S55" s="13" t="b">
        <f t="shared" si="8"/>
        <v>0</v>
      </c>
      <c r="T55" s="13">
        <f t="shared" si="9"/>
        <v>3600</v>
      </c>
      <c r="U55" s="7">
        <f t="shared" si="10"/>
        <v>0</v>
      </c>
      <c r="V55" s="7">
        <f t="shared" si="11"/>
        <v>0</v>
      </c>
      <c r="W55" s="13" t="b">
        <f t="shared" si="12"/>
        <v>1</v>
      </c>
      <c r="X55" s="13">
        <f t="shared" si="13"/>
        <v>1113.82</v>
      </c>
      <c r="Y55" s="7">
        <f t="shared" si="14"/>
        <v>0</v>
      </c>
      <c r="Z55" s="7">
        <f t="shared" si="15"/>
        <v>0.008815619086</v>
      </c>
      <c r="AA55" s="13" t="b">
        <f t="shared" si="16"/>
        <v>1</v>
      </c>
      <c r="AB55" s="13">
        <f t="shared" si="17"/>
        <v>629.53</v>
      </c>
    </row>
    <row r="56">
      <c r="A56" s="1" t="s">
        <v>61</v>
      </c>
      <c r="B56" s="12">
        <v>4267.0</v>
      </c>
      <c r="C56" s="12">
        <v>4883.0</v>
      </c>
      <c r="D56" s="7">
        <f t="shared" si="1"/>
        <v>0.1443637216</v>
      </c>
      <c r="E56" s="9">
        <v>3600.0</v>
      </c>
      <c r="F56" s="9">
        <v>4590.0</v>
      </c>
      <c r="G56" s="9">
        <v>4780.0</v>
      </c>
      <c r="H56" s="7">
        <f t="shared" si="2"/>
        <v>0.04139433551</v>
      </c>
      <c r="I56" s="9">
        <v>3600.0</v>
      </c>
      <c r="J56" s="9">
        <v>4752.0</v>
      </c>
      <c r="K56" s="9">
        <v>4741.9</v>
      </c>
      <c r="L56" s="9">
        <v>317.76</v>
      </c>
      <c r="M56" s="13">
        <f t="shared" si="3"/>
        <v>4752</v>
      </c>
      <c r="N56" s="13">
        <f t="shared" si="4"/>
        <v>4780</v>
      </c>
      <c r="O56" s="7">
        <f t="shared" si="5"/>
        <v>0.005892255892</v>
      </c>
      <c r="Q56" s="7">
        <f t="shared" si="6"/>
        <v>0.1443637216</v>
      </c>
      <c r="R56" s="7">
        <f t="shared" si="7"/>
        <v>0.1136629951</v>
      </c>
      <c r="S56" s="13" t="b">
        <f t="shared" si="8"/>
        <v>0</v>
      </c>
      <c r="T56" s="13">
        <f t="shared" si="9"/>
        <v>3600</v>
      </c>
      <c r="U56" s="7">
        <f t="shared" si="10"/>
        <v>0.04139433551</v>
      </c>
      <c r="V56" s="7">
        <f t="shared" si="11"/>
        <v>0.03529411765</v>
      </c>
      <c r="W56" s="13" t="b">
        <f t="shared" si="12"/>
        <v>0</v>
      </c>
      <c r="X56" s="13">
        <f t="shared" si="13"/>
        <v>3600</v>
      </c>
      <c r="Y56" s="7">
        <f t="shared" si="14"/>
        <v>0</v>
      </c>
      <c r="Z56" s="7">
        <f t="shared" si="15"/>
        <v>0.002129947911</v>
      </c>
      <c r="AA56" s="13" t="b">
        <f t="shared" si="16"/>
        <v>1</v>
      </c>
      <c r="AB56" s="13">
        <f t="shared" si="17"/>
        <v>317.76</v>
      </c>
    </row>
    <row r="57">
      <c r="A57" s="1" t="s">
        <v>62</v>
      </c>
      <c r="B57" s="12">
        <v>4909.0</v>
      </c>
      <c r="C57" s="12">
        <v>5379.0</v>
      </c>
      <c r="D57" s="7">
        <f t="shared" si="1"/>
        <v>0.09574251375</v>
      </c>
      <c r="E57" s="9">
        <v>3600.0</v>
      </c>
      <c r="F57" s="9">
        <v>5233.0</v>
      </c>
      <c r="G57" s="9">
        <v>5302.0</v>
      </c>
      <c r="H57" s="7">
        <f t="shared" si="2"/>
        <v>0.01318555322</v>
      </c>
      <c r="I57" s="9">
        <v>3600.0</v>
      </c>
      <c r="J57" s="9">
        <v>5302.0</v>
      </c>
      <c r="K57" s="9">
        <v>5294.6</v>
      </c>
      <c r="L57" s="9">
        <v>465.66</v>
      </c>
      <c r="M57" s="13">
        <f t="shared" si="3"/>
        <v>5302</v>
      </c>
      <c r="N57" s="13">
        <f t="shared" si="4"/>
        <v>5302</v>
      </c>
      <c r="O57" s="7">
        <f t="shared" si="5"/>
        <v>0</v>
      </c>
      <c r="Q57" s="7">
        <f t="shared" si="6"/>
        <v>0.09574251375</v>
      </c>
      <c r="R57" s="7">
        <f t="shared" si="7"/>
        <v>0.08005703809</v>
      </c>
      <c r="S57" s="13" t="b">
        <f t="shared" si="8"/>
        <v>0</v>
      </c>
      <c r="T57" s="13">
        <f t="shared" si="9"/>
        <v>3600</v>
      </c>
      <c r="U57" s="7">
        <f t="shared" si="10"/>
        <v>0.01318555322</v>
      </c>
      <c r="V57" s="7">
        <f t="shared" si="11"/>
        <v>0.01318555322</v>
      </c>
      <c r="W57" s="13" t="b">
        <f t="shared" si="12"/>
        <v>0</v>
      </c>
      <c r="X57" s="13">
        <f t="shared" si="13"/>
        <v>3600</v>
      </c>
      <c r="Y57" s="7">
        <f t="shared" si="14"/>
        <v>0</v>
      </c>
      <c r="Z57" s="7">
        <f t="shared" si="15"/>
        <v>0.001397650436</v>
      </c>
      <c r="AA57" s="13" t="b">
        <f t="shared" si="16"/>
        <v>1</v>
      </c>
      <c r="AB57" s="13">
        <f t="shared" si="17"/>
        <v>465.66</v>
      </c>
    </row>
    <row r="58">
      <c r="A58" s="1" t="s">
        <v>63</v>
      </c>
      <c r="B58" s="12">
        <v>4994.0</v>
      </c>
      <c r="C58" s="12">
        <v>5621.0</v>
      </c>
      <c r="D58" s="7">
        <f t="shared" si="1"/>
        <v>0.1255506608</v>
      </c>
      <c r="E58" s="9">
        <v>3600.0</v>
      </c>
      <c r="F58" s="9">
        <v>5363.0</v>
      </c>
      <c r="G58" s="9">
        <v>5559.0</v>
      </c>
      <c r="H58" s="7">
        <f t="shared" si="2"/>
        <v>0.03654670893</v>
      </c>
      <c r="I58" s="9">
        <v>3600.0</v>
      </c>
      <c r="J58" s="9">
        <v>5544.0</v>
      </c>
      <c r="K58" s="9">
        <v>5531.2</v>
      </c>
      <c r="L58" s="9">
        <v>1465.06</v>
      </c>
      <c r="M58" s="13">
        <f t="shared" si="3"/>
        <v>5544</v>
      </c>
      <c r="N58" s="13">
        <f t="shared" si="4"/>
        <v>5559</v>
      </c>
      <c r="O58" s="7">
        <f t="shared" si="5"/>
        <v>0.002705627706</v>
      </c>
      <c r="Q58" s="7">
        <f t="shared" si="6"/>
        <v>0.1255506608</v>
      </c>
      <c r="R58" s="7">
        <f t="shared" si="7"/>
        <v>0.1101321586</v>
      </c>
      <c r="S58" s="13" t="b">
        <f t="shared" si="8"/>
        <v>0</v>
      </c>
      <c r="T58" s="13">
        <f t="shared" si="9"/>
        <v>3600</v>
      </c>
      <c r="U58" s="7">
        <f t="shared" si="10"/>
        <v>0.03654670893</v>
      </c>
      <c r="V58" s="7">
        <f t="shared" si="11"/>
        <v>0.03374976692</v>
      </c>
      <c r="W58" s="13" t="b">
        <f t="shared" si="12"/>
        <v>0</v>
      </c>
      <c r="X58" s="13">
        <f t="shared" si="13"/>
        <v>3600</v>
      </c>
      <c r="Y58" s="7">
        <f t="shared" si="14"/>
        <v>0</v>
      </c>
      <c r="Z58" s="7">
        <f t="shared" si="15"/>
        <v>0.002314145213</v>
      </c>
      <c r="AA58" s="13" t="b">
        <f t="shared" si="16"/>
        <v>1</v>
      </c>
      <c r="AB58" s="13">
        <f t="shared" si="17"/>
        <v>1465.06</v>
      </c>
    </row>
    <row r="59">
      <c r="A59" s="1" t="s">
        <v>64</v>
      </c>
      <c r="B59" s="12">
        <v>3338.0</v>
      </c>
      <c r="C59" s="12">
        <v>4995.0</v>
      </c>
      <c r="D59" s="7">
        <f t="shared" si="1"/>
        <v>0.496405033</v>
      </c>
      <c r="E59" s="9">
        <v>3600.0</v>
      </c>
      <c r="F59" s="9">
        <v>4184.0</v>
      </c>
      <c r="G59" s="9">
        <v>4849.0</v>
      </c>
      <c r="H59" s="7">
        <f t="shared" si="2"/>
        <v>0.1589388145</v>
      </c>
      <c r="I59" s="9">
        <v>3600.0</v>
      </c>
      <c r="J59" s="9">
        <v>4184.0</v>
      </c>
      <c r="K59" s="9">
        <v>4184.0</v>
      </c>
      <c r="L59" s="9">
        <v>79.62</v>
      </c>
      <c r="M59" s="13">
        <f t="shared" si="3"/>
        <v>4184</v>
      </c>
      <c r="N59" s="13">
        <f t="shared" si="4"/>
        <v>4849</v>
      </c>
      <c r="O59" s="7">
        <f t="shared" si="5"/>
        <v>0.1589388145</v>
      </c>
      <c r="Q59" s="7">
        <f t="shared" si="6"/>
        <v>0.496405033</v>
      </c>
      <c r="R59" s="7">
        <f t="shared" si="7"/>
        <v>0.2534451768</v>
      </c>
      <c r="S59" s="13" t="b">
        <f t="shared" si="8"/>
        <v>0</v>
      </c>
      <c r="T59" s="13">
        <f t="shared" si="9"/>
        <v>3600</v>
      </c>
      <c r="U59" s="7">
        <f t="shared" si="10"/>
        <v>0.1589388145</v>
      </c>
      <c r="V59" s="7">
        <f t="shared" si="11"/>
        <v>0</v>
      </c>
      <c r="W59" s="13" t="b">
        <f t="shared" si="12"/>
        <v>1</v>
      </c>
      <c r="X59" s="13">
        <f t="shared" si="13"/>
        <v>3600</v>
      </c>
      <c r="Y59" s="7">
        <f t="shared" si="14"/>
        <v>0</v>
      </c>
      <c r="Z59" s="7">
        <f t="shared" si="15"/>
        <v>0</v>
      </c>
      <c r="AA59" s="13" t="b">
        <f t="shared" si="16"/>
        <v>1</v>
      </c>
      <c r="AB59" s="13">
        <f t="shared" si="17"/>
        <v>79.62</v>
      </c>
    </row>
    <row r="60">
      <c r="A60" s="1" t="s">
        <v>65</v>
      </c>
      <c r="B60" s="12">
        <v>3831.0</v>
      </c>
      <c r="C60" s="12">
        <v>4124.0</v>
      </c>
      <c r="D60" s="7">
        <f t="shared" si="1"/>
        <v>0.07648133647</v>
      </c>
      <c r="E60" s="9">
        <v>3600.0</v>
      </c>
      <c r="F60" s="9">
        <v>3908.0</v>
      </c>
      <c r="G60" s="9">
        <v>4043.0</v>
      </c>
      <c r="H60" s="7">
        <f t="shared" si="2"/>
        <v>0.03454452405</v>
      </c>
      <c r="I60" s="9">
        <v>3600.0</v>
      </c>
      <c r="J60" s="9">
        <v>4035.0</v>
      </c>
      <c r="K60" s="9">
        <v>4033.9</v>
      </c>
      <c r="L60" s="9">
        <v>506.01</v>
      </c>
      <c r="M60" s="13">
        <f t="shared" si="3"/>
        <v>4035</v>
      </c>
      <c r="N60" s="13">
        <f t="shared" si="4"/>
        <v>4043</v>
      </c>
      <c r="O60" s="7">
        <f t="shared" si="5"/>
        <v>0.001982651797</v>
      </c>
      <c r="Q60" s="7">
        <f t="shared" si="6"/>
        <v>0.07648133647</v>
      </c>
      <c r="R60" s="7">
        <f t="shared" si="7"/>
        <v>0.05324980423</v>
      </c>
      <c r="S60" s="13" t="b">
        <f t="shared" si="8"/>
        <v>0</v>
      </c>
      <c r="T60" s="13">
        <f t="shared" si="9"/>
        <v>3600</v>
      </c>
      <c r="U60" s="7">
        <f t="shared" si="10"/>
        <v>0.03454452405</v>
      </c>
      <c r="V60" s="7">
        <f t="shared" si="11"/>
        <v>0.03249744115</v>
      </c>
      <c r="W60" s="13" t="b">
        <f t="shared" si="12"/>
        <v>0</v>
      </c>
      <c r="X60" s="13">
        <f t="shared" si="13"/>
        <v>3600</v>
      </c>
      <c r="Y60" s="7">
        <f t="shared" si="14"/>
        <v>0</v>
      </c>
      <c r="Z60" s="7">
        <f t="shared" si="15"/>
        <v>0.0002726889611</v>
      </c>
      <c r="AA60" s="13" t="b">
        <f t="shared" si="16"/>
        <v>1</v>
      </c>
      <c r="AB60" s="13">
        <f t="shared" si="17"/>
        <v>506.01</v>
      </c>
    </row>
    <row r="61">
      <c r="A61" s="1" t="s">
        <v>66</v>
      </c>
      <c r="B61" s="12">
        <v>5302.0</v>
      </c>
      <c r="C61" s="12">
        <v>6818.0</v>
      </c>
      <c r="D61" s="7">
        <f t="shared" si="1"/>
        <v>0.2859298378</v>
      </c>
      <c r="E61" s="9">
        <v>3600.0</v>
      </c>
      <c r="F61" s="9">
        <v>5541.0</v>
      </c>
      <c r="G61" s="9">
        <v>6728.0</v>
      </c>
      <c r="H61" s="7">
        <f t="shared" si="2"/>
        <v>0.2142212597</v>
      </c>
      <c r="I61" s="9">
        <v>3600.0</v>
      </c>
      <c r="J61" s="9">
        <v>5541.0</v>
      </c>
      <c r="K61" s="9">
        <v>5540.5</v>
      </c>
      <c r="L61" s="9">
        <v>85.53</v>
      </c>
      <c r="M61" s="13">
        <f t="shared" si="3"/>
        <v>5541</v>
      </c>
      <c r="N61" s="13">
        <f t="shared" si="4"/>
        <v>6728</v>
      </c>
      <c r="O61" s="7">
        <f t="shared" si="5"/>
        <v>0.2142212597</v>
      </c>
      <c r="Q61" s="7">
        <f t="shared" si="6"/>
        <v>0.2859298378</v>
      </c>
      <c r="R61" s="7">
        <f t="shared" si="7"/>
        <v>0.04507732931</v>
      </c>
      <c r="S61" s="13" t="b">
        <f t="shared" si="8"/>
        <v>0</v>
      </c>
      <c r="T61" s="13">
        <f t="shared" si="9"/>
        <v>3600</v>
      </c>
      <c r="U61" s="7">
        <f t="shared" si="10"/>
        <v>0.2142212597</v>
      </c>
      <c r="V61" s="7">
        <f t="shared" si="11"/>
        <v>0</v>
      </c>
      <c r="W61" s="13" t="b">
        <f t="shared" si="12"/>
        <v>1</v>
      </c>
      <c r="X61" s="13">
        <f t="shared" si="13"/>
        <v>3600</v>
      </c>
      <c r="Y61" s="7">
        <f t="shared" si="14"/>
        <v>0</v>
      </c>
      <c r="Z61" s="7">
        <f t="shared" si="15"/>
        <v>0.00009024456277</v>
      </c>
      <c r="AA61" s="13" t="b">
        <f t="shared" si="16"/>
        <v>1</v>
      </c>
      <c r="AB61" s="13">
        <f t="shared" si="17"/>
        <v>85.53</v>
      </c>
    </row>
    <row r="62">
      <c r="A62" s="1" t="s">
        <v>67</v>
      </c>
      <c r="B62" s="12">
        <v>3478.0</v>
      </c>
      <c r="C62" s="12">
        <v>4826.0</v>
      </c>
      <c r="D62" s="7">
        <f t="shared" si="1"/>
        <v>0.3875790684</v>
      </c>
      <c r="E62" s="9">
        <v>3600.0</v>
      </c>
      <c r="F62" s="9">
        <v>4737.0</v>
      </c>
      <c r="G62" s="9">
        <v>4737.0</v>
      </c>
      <c r="H62" s="7">
        <f t="shared" si="2"/>
        <v>0</v>
      </c>
      <c r="I62" s="9">
        <v>1528.19</v>
      </c>
      <c r="J62" s="9">
        <v>4731.0</v>
      </c>
      <c r="K62" s="9">
        <v>4712.0</v>
      </c>
      <c r="L62" s="9">
        <v>721.8</v>
      </c>
      <c r="M62" s="13">
        <f t="shared" si="3"/>
        <v>4737</v>
      </c>
      <c r="N62" s="13">
        <f t="shared" si="4"/>
        <v>4737</v>
      </c>
      <c r="O62" s="7">
        <f t="shared" si="5"/>
        <v>0</v>
      </c>
      <c r="Q62" s="7">
        <f t="shared" si="6"/>
        <v>0.3875790684</v>
      </c>
      <c r="R62" s="7">
        <f t="shared" si="7"/>
        <v>0.3619896492</v>
      </c>
      <c r="S62" s="13" t="b">
        <f t="shared" si="8"/>
        <v>0</v>
      </c>
      <c r="T62" s="13">
        <f t="shared" si="9"/>
        <v>3600</v>
      </c>
      <c r="U62" s="7">
        <f t="shared" si="10"/>
        <v>0</v>
      </c>
      <c r="V62" s="7">
        <f t="shared" si="11"/>
        <v>0</v>
      </c>
      <c r="W62" s="13" t="b">
        <f t="shared" si="12"/>
        <v>1</v>
      </c>
      <c r="X62" s="13">
        <f t="shared" si="13"/>
        <v>1528.19</v>
      </c>
      <c r="Y62" s="7">
        <f t="shared" si="14"/>
        <v>0.001268230818</v>
      </c>
      <c r="Z62" s="7">
        <f t="shared" si="15"/>
        <v>0.005305602716</v>
      </c>
      <c r="AA62" s="13" t="b">
        <f t="shared" si="16"/>
        <v>0</v>
      </c>
      <c r="AB62" s="13">
        <f t="shared" si="17"/>
        <v>721.8</v>
      </c>
      <c r="AD62" s="7">
        <f t="shared" ref="AD62:AE62" si="21">AVERAGE(Q33:Q62)</f>
        <v>0.1083478155</v>
      </c>
      <c r="AE62" s="7">
        <f t="shared" si="21"/>
        <v>0.05097947462</v>
      </c>
      <c r="AF62" s="13">
        <f>COUNTIF(S33:S62, "TRUE")</f>
        <v>4</v>
      </c>
      <c r="AG62" s="13">
        <f>COUNTIF(Q33:Q62,"=0")</f>
        <v>2</v>
      </c>
      <c r="AH62" s="13">
        <f t="shared" ref="AH62:AJ62" si="22">AVERAGE(T33:T62)</f>
        <v>3502.682</v>
      </c>
      <c r="AI62" s="7">
        <f t="shared" si="22"/>
        <v>0.02502226203</v>
      </c>
      <c r="AJ62" s="7">
        <f t="shared" si="22"/>
        <v>0.004733796526</v>
      </c>
      <c r="AK62" s="13">
        <f>COUNTIF(W33:W62, "TRUE")</f>
        <v>20</v>
      </c>
      <c r="AL62" s="13">
        <f>COUNTIF(U33:U62,"=0")</f>
        <v>14</v>
      </c>
      <c r="AM62" s="13">
        <f t="shared" ref="AM62:AO62" si="23">AVERAGE(X33:X62)</f>
        <v>2220.888667</v>
      </c>
      <c r="AN62" s="7">
        <f t="shared" si="23"/>
        <v>0.0001152138208</v>
      </c>
      <c r="AO62" s="7">
        <f t="shared" si="23"/>
        <v>0.001283832832</v>
      </c>
      <c r="AP62" s="13">
        <f>COUNTIF(AA33:AA62, "TRUE")</f>
        <v>28</v>
      </c>
      <c r="AQ62" s="13">
        <f>AVERAGE(AB33:AB62)</f>
        <v>293.724</v>
      </c>
    </row>
    <row r="63">
      <c r="D63" s="7"/>
      <c r="H63" s="7"/>
      <c r="I63" s="7"/>
    </row>
    <row r="64">
      <c r="D64" s="7"/>
      <c r="H64" s="7"/>
      <c r="I64" s="7"/>
    </row>
    <row r="65">
      <c r="D65" s="7"/>
      <c r="H65" s="7"/>
      <c r="I65" s="7"/>
    </row>
    <row r="66">
      <c r="D66" s="7"/>
      <c r="H66" s="7"/>
      <c r="I66" s="7"/>
    </row>
    <row r="67">
      <c r="D67" s="7"/>
      <c r="H67" s="7"/>
      <c r="I67" s="7"/>
    </row>
    <row r="68">
      <c r="D68" s="7"/>
      <c r="H68" s="7"/>
      <c r="I68" s="7"/>
    </row>
    <row r="69">
      <c r="D69" s="7"/>
      <c r="H69" s="7"/>
      <c r="I69" s="7"/>
    </row>
    <row r="70">
      <c r="D70" s="7"/>
      <c r="H70" s="7"/>
      <c r="I70" s="7"/>
    </row>
    <row r="71">
      <c r="D71" s="7"/>
      <c r="H71" s="7"/>
      <c r="I71" s="7"/>
    </row>
    <row r="72">
      <c r="D72" s="7"/>
      <c r="H72" s="7"/>
      <c r="I72" s="7"/>
    </row>
    <row r="73">
      <c r="D73" s="7"/>
      <c r="H73" s="7"/>
      <c r="I73" s="7"/>
    </row>
    <row r="74">
      <c r="D74" s="7"/>
      <c r="H74" s="7"/>
      <c r="I74" s="7"/>
    </row>
    <row r="75">
      <c r="D75" s="7"/>
      <c r="H75" s="7"/>
      <c r="I75" s="7"/>
    </row>
    <row r="76">
      <c r="D76" s="7"/>
      <c r="H76" s="7"/>
      <c r="I76" s="7"/>
    </row>
    <row r="77">
      <c r="D77" s="7"/>
      <c r="H77" s="7"/>
      <c r="I77" s="7"/>
    </row>
    <row r="78">
      <c r="D78" s="7"/>
      <c r="H78" s="7"/>
      <c r="I78" s="7"/>
    </row>
    <row r="79">
      <c r="D79" s="7"/>
      <c r="H79" s="7"/>
      <c r="I79" s="7"/>
    </row>
    <row r="80">
      <c r="D80" s="7"/>
      <c r="H80" s="7"/>
      <c r="I80" s="7"/>
    </row>
    <row r="81">
      <c r="D81" s="7"/>
      <c r="H81" s="7"/>
      <c r="I81" s="7"/>
    </row>
    <row r="82">
      <c r="D82" s="7"/>
      <c r="H82" s="7"/>
      <c r="I82" s="7"/>
    </row>
    <row r="83">
      <c r="D83" s="7"/>
      <c r="H83" s="7"/>
      <c r="I83" s="7"/>
    </row>
    <row r="84">
      <c r="D84" s="7"/>
      <c r="H84" s="7"/>
      <c r="I84" s="7"/>
    </row>
    <row r="85">
      <c r="D85" s="7"/>
      <c r="H85" s="7"/>
      <c r="I85" s="7"/>
    </row>
    <row r="86">
      <c r="D86" s="7"/>
      <c r="H86" s="7"/>
      <c r="I86" s="7"/>
    </row>
    <row r="87">
      <c r="D87" s="7"/>
      <c r="H87" s="7"/>
      <c r="I87" s="7"/>
    </row>
    <row r="88">
      <c r="D88" s="7"/>
      <c r="H88" s="7"/>
      <c r="I88" s="7"/>
    </row>
    <row r="89">
      <c r="D89" s="7"/>
      <c r="H89" s="7"/>
      <c r="I89" s="7"/>
    </row>
    <row r="90">
      <c r="D90" s="7"/>
      <c r="H90" s="7"/>
      <c r="I90" s="7"/>
    </row>
    <row r="91">
      <c r="D91" s="7"/>
      <c r="H91" s="7"/>
      <c r="I91" s="7"/>
    </row>
    <row r="92">
      <c r="D92" s="7"/>
      <c r="H92" s="7"/>
      <c r="I92" s="7"/>
    </row>
    <row r="93">
      <c r="D93" s="7"/>
      <c r="H93" s="7"/>
      <c r="I93" s="7"/>
    </row>
    <row r="94">
      <c r="D94" s="7"/>
      <c r="H94" s="7"/>
      <c r="I94" s="7"/>
    </row>
    <row r="95">
      <c r="D95" s="7"/>
      <c r="H95" s="7"/>
      <c r="I95" s="7"/>
    </row>
    <row r="96">
      <c r="D96" s="7"/>
      <c r="H96" s="7"/>
      <c r="I96" s="7"/>
    </row>
    <row r="97">
      <c r="D97" s="7"/>
      <c r="H97" s="7"/>
      <c r="I97" s="7"/>
    </row>
    <row r="98">
      <c r="D98" s="7"/>
      <c r="H98" s="7"/>
      <c r="I98" s="7"/>
    </row>
    <row r="99">
      <c r="D99" s="7"/>
      <c r="H99" s="7"/>
      <c r="I99" s="7"/>
    </row>
    <row r="100">
      <c r="D100" s="7"/>
      <c r="H100" s="7"/>
      <c r="I100" s="7"/>
    </row>
    <row r="101">
      <c r="D101" s="7"/>
      <c r="H101" s="7"/>
      <c r="I101" s="7"/>
    </row>
    <row r="102">
      <c r="D102" s="7"/>
      <c r="H102" s="7"/>
      <c r="I102" s="7"/>
    </row>
    <row r="103">
      <c r="D103" s="7"/>
      <c r="H103" s="7"/>
      <c r="I103" s="7"/>
    </row>
    <row r="104">
      <c r="D104" s="7"/>
      <c r="H104" s="7"/>
      <c r="I104" s="7"/>
    </row>
    <row r="105">
      <c r="D105" s="7"/>
      <c r="H105" s="7"/>
      <c r="I105" s="7"/>
    </row>
    <row r="106">
      <c r="D106" s="7"/>
      <c r="H106" s="7"/>
      <c r="I106" s="7"/>
    </row>
    <row r="107">
      <c r="D107" s="7"/>
      <c r="H107" s="7"/>
      <c r="I107" s="7"/>
    </row>
    <row r="108">
      <c r="D108" s="7"/>
      <c r="H108" s="7"/>
      <c r="I108" s="7"/>
    </row>
    <row r="109">
      <c r="D109" s="7"/>
      <c r="H109" s="7"/>
      <c r="I109" s="7"/>
    </row>
    <row r="110">
      <c r="D110" s="7"/>
      <c r="H110" s="7"/>
      <c r="I110" s="7"/>
    </row>
    <row r="111">
      <c r="D111" s="7"/>
      <c r="H111" s="7"/>
      <c r="I111" s="7"/>
    </row>
    <row r="112">
      <c r="D112" s="7"/>
      <c r="H112" s="7"/>
      <c r="I112" s="7"/>
    </row>
    <row r="113">
      <c r="D113" s="7"/>
      <c r="H113" s="7"/>
      <c r="I113" s="7"/>
    </row>
    <row r="114">
      <c r="D114" s="7"/>
      <c r="H114" s="7"/>
      <c r="I114" s="7"/>
    </row>
    <row r="115">
      <c r="D115" s="7"/>
      <c r="H115" s="7"/>
      <c r="I115" s="7"/>
    </row>
    <row r="116">
      <c r="D116" s="7"/>
      <c r="H116" s="7"/>
      <c r="I116" s="7"/>
    </row>
    <row r="117">
      <c r="D117" s="7"/>
      <c r="H117" s="7"/>
      <c r="I117" s="7"/>
    </row>
    <row r="118">
      <c r="D118" s="7"/>
      <c r="H118" s="7"/>
      <c r="I118" s="7"/>
    </row>
    <row r="119">
      <c r="D119" s="7"/>
      <c r="H119" s="7"/>
      <c r="I119" s="7"/>
    </row>
    <row r="120">
      <c r="D120" s="7"/>
      <c r="H120" s="7"/>
      <c r="I120" s="7"/>
    </row>
    <row r="121">
      <c r="D121" s="7"/>
      <c r="H121" s="7"/>
      <c r="I121" s="7"/>
    </row>
    <row r="122">
      <c r="D122" s="7"/>
      <c r="H122" s="7"/>
      <c r="I122" s="7"/>
    </row>
    <row r="123">
      <c r="D123" s="7"/>
      <c r="H123" s="7"/>
      <c r="I123" s="7"/>
    </row>
    <row r="124">
      <c r="D124" s="7"/>
      <c r="H124" s="7"/>
      <c r="I124" s="7"/>
    </row>
    <row r="125">
      <c r="D125" s="7"/>
      <c r="H125" s="7"/>
      <c r="I125" s="7"/>
    </row>
    <row r="126">
      <c r="D126" s="7"/>
      <c r="H126" s="7"/>
      <c r="I126" s="7"/>
    </row>
    <row r="127">
      <c r="D127" s="7"/>
      <c r="H127" s="7"/>
      <c r="I127" s="7"/>
    </row>
    <row r="128">
      <c r="D128" s="7"/>
      <c r="H128" s="7"/>
      <c r="I128" s="7"/>
    </row>
    <row r="129">
      <c r="D129" s="7"/>
      <c r="H129" s="7"/>
      <c r="I129" s="7"/>
    </row>
    <row r="130">
      <c r="D130" s="7"/>
      <c r="H130" s="7"/>
      <c r="I130" s="7"/>
    </row>
    <row r="131">
      <c r="D131" s="7"/>
      <c r="H131" s="7"/>
      <c r="I131" s="7"/>
    </row>
    <row r="132">
      <c r="D132" s="7"/>
      <c r="H132" s="7"/>
      <c r="I132" s="7"/>
    </row>
    <row r="133">
      <c r="D133" s="7"/>
      <c r="H133" s="7"/>
      <c r="I133" s="7"/>
    </row>
    <row r="134">
      <c r="D134" s="7"/>
      <c r="H134" s="7"/>
      <c r="I134" s="7"/>
    </row>
    <row r="135">
      <c r="D135" s="7"/>
      <c r="H135" s="7"/>
      <c r="I135" s="7"/>
    </row>
    <row r="136">
      <c r="D136" s="7"/>
      <c r="H136" s="7"/>
      <c r="I136" s="7"/>
    </row>
    <row r="137">
      <c r="D137" s="7"/>
      <c r="H137" s="7"/>
      <c r="I137" s="7"/>
    </row>
    <row r="138">
      <c r="D138" s="7"/>
      <c r="H138" s="7"/>
      <c r="I138" s="7"/>
    </row>
    <row r="139">
      <c r="D139" s="7"/>
      <c r="H139" s="7"/>
      <c r="I139" s="7"/>
    </row>
    <row r="140">
      <c r="D140" s="7"/>
      <c r="H140" s="7"/>
      <c r="I140" s="7"/>
    </row>
    <row r="141">
      <c r="D141" s="7"/>
      <c r="H141" s="7"/>
      <c r="I141" s="7"/>
    </row>
    <row r="142">
      <c r="D142" s="7"/>
      <c r="H142" s="7"/>
      <c r="I142" s="7"/>
    </row>
    <row r="143">
      <c r="D143" s="7"/>
      <c r="H143" s="7"/>
      <c r="I143" s="7"/>
    </row>
    <row r="144">
      <c r="D144" s="7"/>
      <c r="H144" s="7"/>
      <c r="I144" s="7"/>
    </row>
    <row r="145">
      <c r="D145" s="7"/>
      <c r="H145" s="7"/>
      <c r="I145" s="7"/>
    </row>
    <row r="146">
      <c r="D146" s="7"/>
      <c r="H146" s="7"/>
      <c r="I146" s="7"/>
    </row>
    <row r="147">
      <c r="D147" s="7"/>
      <c r="H147" s="7"/>
      <c r="I147" s="7"/>
    </row>
    <row r="148">
      <c r="D148" s="7"/>
      <c r="H148" s="7"/>
      <c r="I148" s="7"/>
    </row>
    <row r="149">
      <c r="D149" s="7"/>
      <c r="H149" s="7"/>
      <c r="I149" s="7"/>
    </row>
    <row r="150">
      <c r="D150" s="7"/>
      <c r="H150" s="7"/>
      <c r="I150" s="7"/>
    </row>
    <row r="151">
      <c r="D151" s="7"/>
      <c r="H151" s="7"/>
      <c r="I151" s="7"/>
    </row>
    <row r="152">
      <c r="D152" s="7"/>
      <c r="H152" s="7"/>
      <c r="I152" s="7"/>
    </row>
    <row r="153">
      <c r="D153" s="7"/>
      <c r="H153" s="7"/>
      <c r="I153" s="7"/>
    </row>
    <row r="154">
      <c r="D154" s="7"/>
      <c r="H154" s="7"/>
      <c r="I154" s="7"/>
    </row>
    <row r="155">
      <c r="D155" s="7"/>
      <c r="H155" s="7"/>
      <c r="I155" s="7"/>
    </row>
    <row r="156">
      <c r="D156" s="7"/>
      <c r="H156" s="7"/>
      <c r="I156" s="7"/>
    </row>
    <row r="157">
      <c r="D157" s="7"/>
      <c r="H157" s="7"/>
      <c r="I157" s="7"/>
    </row>
    <row r="158">
      <c r="D158" s="7"/>
      <c r="H158" s="7"/>
      <c r="I158" s="7"/>
    </row>
    <row r="159">
      <c r="D159" s="7"/>
      <c r="H159" s="7"/>
      <c r="I159" s="7"/>
    </row>
    <row r="160">
      <c r="D160" s="7"/>
      <c r="H160" s="7"/>
      <c r="I160" s="7"/>
    </row>
    <row r="161">
      <c r="D161" s="7"/>
      <c r="H161" s="7"/>
      <c r="I161" s="7"/>
    </row>
    <row r="162">
      <c r="D162" s="7"/>
      <c r="H162" s="7"/>
      <c r="I162" s="7"/>
    </row>
    <row r="163">
      <c r="D163" s="7"/>
      <c r="H163" s="7"/>
      <c r="I163" s="7"/>
    </row>
    <row r="164">
      <c r="D164" s="7"/>
      <c r="H164" s="7"/>
      <c r="I164" s="7"/>
    </row>
    <row r="165">
      <c r="D165" s="7"/>
      <c r="H165" s="7"/>
      <c r="I165" s="7"/>
    </row>
    <row r="166">
      <c r="D166" s="7"/>
      <c r="H166" s="7"/>
      <c r="I166" s="7"/>
    </row>
    <row r="167">
      <c r="D167" s="7"/>
      <c r="H167" s="7"/>
      <c r="I167" s="7"/>
    </row>
    <row r="168">
      <c r="D168" s="7"/>
      <c r="H168" s="7"/>
      <c r="I168" s="7"/>
    </row>
    <row r="169">
      <c r="D169" s="7"/>
      <c r="H169" s="7"/>
      <c r="I169" s="7"/>
    </row>
    <row r="170">
      <c r="D170" s="7"/>
      <c r="H170" s="7"/>
      <c r="I170" s="7"/>
    </row>
    <row r="171">
      <c r="D171" s="7"/>
      <c r="H171" s="7"/>
      <c r="I171" s="7"/>
    </row>
    <row r="172">
      <c r="D172" s="7"/>
      <c r="H172" s="7"/>
      <c r="I172" s="7"/>
    </row>
    <row r="173">
      <c r="D173" s="7"/>
      <c r="H173" s="7"/>
      <c r="I173" s="7"/>
    </row>
    <row r="174">
      <c r="D174" s="7"/>
      <c r="H174" s="7"/>
      <c r="I174" s="7"/>
    </row>
    <row r="175">
      <c r="D175" s="7"/>
      <c r="H175" s="7"/>
      <c r="I175" s="7"/>
    </row>
    <row r="176">
      <c r="D176" s="7"/>
      <c r="H176" s="7"/>
      <c r="I176" s="7"/>
    </row>
    <row r="177">
      <c r="D177" s="7"/>
      <c r="H177" s="7"/>
      <c r="I177" s="7"/>
    </row>
    <row r="178">
      <c r="D178" s="7"/>
      <c r="H178" s="7"/>
      <c r="I178" s="7"/>
    </row>
    <row r="179">
      <c r="D179" s="7"/>
      <c r="H179" s="7"/>
      <c r="I179" s="7"/>
    </row>
    <row r="180">
      <c r="D180" s="7"/>
      <c r="H180" s="7"/>
      <c r="I180" s="7"/>
    </row>
    <row r="181">
      <c r="D181" s="7"/>
      <c r="H181" s="7"/>
      <c r="I181" s="7"/>
    </row>
    <row r="182">
      <c r="D182" s="7"/>
      <c r="H182" s="7"/>
      <c r="I182" s="7"/>
    </row>
    <row r="183">
      <c r="D183" s="7"/>
      <c r="H183" s="7"/>
      <c r="I183" s="7"/>
    </row>
    <row r="184">
      <c r="D184" s="7"/>
      <c r="H184" s="7"/>
      <c r="I184" s="7"/>
    </row>
    <row r="185">
      <c r="D185" s="7"/>
      <c r="H185" s="7"/>
      <c r="I185" s="7"/>
    </row>
    <row r="186">
      <c r="D186" s="7"/>
      <c r="H186" s="7"/>
      <c r="I186" s="7"/>
    </row>
    <row r="187">
      <c r="D187" s="7"/>
      <c r="H187" s="7"/>
      <c r="I187" s="7"/>
    </row>
    <row r="188">
      <c r="D188" s="7"/>
      <c r="H188" s="7"/>
      <c r="I188" s="7"/>
    </row>
    <row r="189">
      <c r="D189" s="7"/>
      <c r="H189" s="7"/>
      <c r="I189" s="7"/>
    </row>
    <row r="190">
      <c r="D190" s="7"/>
      <c r="H190" s="7"/>
      <c r="I190" s="7"/>
    </row>
    <row r="191">
      <c r="D191" s="7"/>
      <c r="H191" s="7"/>
      <c r="I191" s="7"/>
    </row>
    <row r="192">
      <c r="D192" s="7"/>
      <c r="H192" s="7"/>
      <c r="I192" s="7"/>
    </row>
    <row r="193">
      <c r="D193" s="7"/>
      <c r="H193" s="7"/>
      <c r="I193" s="7"/>
    </row>
    <row r="194">
      <c r="D194" s="7"/>
      <c r="H194" s="7"/>
      <c r="I194" s="7"/>
    </row>
    <row r="195">
      <c r="D195" s="7"/>
      <c r="H195" s="7"/>
      <c r="I195" s="7"/>
    </row>
    <row r="196">
      <c r="D196" s="7"/>
      <c r="H196" s="7"/>
      <c r="I196" s="7"/>
    </row>
    <row r="197">
      <c r="D197" s="7"/>
      <c r="H197" s="7"/>
      <c r="I197" s="7"/>
    </row>
    <row r="198">
      <c r="D198" s="7"/>
      <c r="H198" s="7"/>
      <c r="I198" s="7"/>
    </row>
    <row r="199">
      <c r="D199" s="7"/>
      <c r="H199" s="7"/>
      <c r="I199" s="7"/>
    </row>
    <row r="200">
      <c r="D200" s="7"/>
      <c r="H200" s="7"/>
      <c r="I200" s="7"/>
    </row>
    <row r="201">
      <c r="D201" s="7"/>
      <c r="H201" s="7"/>
      <c r="I201" s="7"/>
    </row>
    <row r="202">
      <c r="D202" s="7"/>
      <c r="H202" s="7"/>
      <c r="I202" s="7"/>
    </row>
    <row r="203">
      <c r="D203" s="7"/>
      <c r="H203" s="7"/>
      <c r="I203" s="7"/>
    </row>
    <row r="204">
      <c r="D204" s="7"/>
      <c r="H204" s="7"/>
      <c r="I204" s="7"/>
    </row>
    <row r="205">
      <c r="D205" s="7"/>
      <c r="H205" s="7"/>
      <c r="I205" s="7"/>
    </row>
    <row r="206">
      <c r="D206" s="7"/>
      <c r="H206" s="7"/>
      <c r="I206" s="7"/>
    </row>
    <row r="207">
      <c r="D207" s="7"/>
      <c r="H207" s="7"/>
      <c r="I207" s="7"/>
    </row>
    <row r="208">
      <c r="D208" s="7"/>
      <c r="H208" s="7"/>
      <c r="I208" s="7"/>
    </row>
    <row r="209">
      <c r="D209" s="7"/>
      <c r="H209" s="7"/>
      <c r="I209" s="7"/>
    </row>
    <row r="210">
      <c r="D210" s="7"/>
      <c r="H210" s="7"/>
      <c r="I210" s="7"/>
    </row>
    <row r="211">
      <c r="D211" s="7"/>
      <c r="H211" s="7"/>
      <c r="I211" s="7"/>
    </row>
    <row r="212">
      <c r="D212" s="7"/>
      <c r="H212" s="7"/>
      <c r="I212" s="7"/>
    </row>
    <row r="213">
      <c r="D213" s="7"/>
      <c r="H213" s="7"/>
      <c r="I213" s="7"/>
    </row>
    <row r="214">
      <c r="D214" s="7"/>
      <c r="H214" s="7"/>
      <c r="I214" s="7"/>
    </row>
    <row r="215">
      <c r="D215" s="7"/>
      <c r="H215" s="7"/>
      <c r="I215" s="7"/>
    </row>
    <row r="216">
      <c r="D216" s="7"/>
      <c r="H216" s="7"/>
      <c r="I216" s="7"/>
    </row>
    <row r="217">
      <c r="D217" s="7"/>
      <c r="H217" s="7"/>
      <c r="I217" s="7"/>
    </row>
    <row r="218">
      <c r="D218" s="7"/>
      <c r="H218" s="7"/>
      <c r="I218" s="7"/>
    </row>
    <row r="219">
      <c r="D219" s="7"/>
      <c r="H219" s="7"/>
      <c r="I219" s="7"/>
    </row>
    <row r="220">
      <c r="D220" s="7"/>
      <c r="H220" s="7"/>
      <c r="I220" s="7"/>
    </row>
    <row r="221">
      <c r="D221" s="7"/>
      <c r="H221" s="7"/>
      <c r="I221" s="7"/>
    </row>
    <row r="222">
      <c r="D222" s="7"/>
      <c r="H222" s="7"/>
      <c r="I222" s="7"/>
    </row>
    <row r="223">
      <c r="D223" s="7"/>
      <c r="H223" s="7"/>
      <c r="I223" s="7"/>
    </row>
    <row r="224">
      <c r="D224" s="7"/>
      <c r="H224" s="7"/>
      <c r="I224" s="7"/>
    </row>
    <row r="225">
      <c r="D225" s="7"/>
      <c r="H225" s="7"/>
      <c r="I225" s="7"/>
    </row>
    <row r="226">
      <c r="D226" s="7"/>
      <c r="H226" s="7"/>
      <c r="I226" s="7"/>
    </row>
    <row r="227">
      <c r="D227" s="7"/>
      <c r="H227" s="7"/>
      <c r="I227" s="7"/>
    </row>
    <row r="228">
      <c r="D228" s="7"/>
      <c r="H228" s="7"/>
      <c r="I228" s="7"/>
    </row>
    <row r="229">
      <c r="D229" s="7"/>
      <c r="H229" s="7"/>
      <c r="I229" s="7"/>
    </row>
    <row r="230">
      <c r="D230" s="7"/>
      <c r="H230" s="7"/>
      <c r="I230" s="7"/>
    </row>
    <row r="231">
      <c r="D231" s="7"/>
      <c r="H231" s="7"/>
      <c r="I231" s="7"/>
    </row>
    <row r="232">
      <c r="D232" s="7"/>
      <c r="H232" s="7"/>
      <c r="I232" s="7"/>
    </row>
    <row r="233">
      <c r="D233" s="7"/>
      <c r="H233" s="7"/>
      <c r="I233" s="7"/>
    </row>
    <row r="234">
      <c r="D234" s="7"/>
      <c r="H234" s="7"/>
      <c r="I234" s="7"/>
    </row>
    <row r="235">
      <c r="D235" s="7"/>
      <c r="H235" s="7"/>
      <c r="I235" s="7"/>
    </row>
    <row r="236">
      <c r="D236" s="7"/>
      <c r="H236" s="7"/>
      <c r="I236" s="7"/>
    </row>
    <row r="237">
      <c r="D237" s="7"/>
      <c r="H237" s="7"/>
      <c r="I237" s="7"/>
    </row>
    <row r="238">
      <c r="D238" s="7"/>
      <c r="H238" s="7"/>
      <c r="I238" s="7"/>
    </row>
    <row r="239">
      <c r="D239" s="7"/>
      <c r="H239" s="7"/>
      <c r="I239" s="7"/>
    </row>
    <row r="240">
      <c r="D240" s="7"/>
      <c r="H240" s="7"/>
      <c r="I240" s="7"/>
    </row>
    <row r="241">
      <c r="D241" s="7"/>
      <c r="H241" s="7"/>
      <c r="I241" s="7"/>
    </row>
    <row r="242">
      <c r="D242" s="7"/>
      <c r="H242" s="7"/>
      <c r="I242" s="7"/>
    </row>
    <row r="243">
      <c r="D243" s="7"/>
      <c r="H243" s="7"/>
      <c r="I243" s="7"/>
    </row>
    <row r="244">
      <c r="D244" s="7"/>
      <c r="H244" s="7"/>
      <c r="I244" s="7"/>
    </row>
    <row r="245">
      <c r="D245" s="7"/>
      <c r="H245" s="7"/>
      <c r="I245" s="7"/>
    </row>
    <row r="246">
      <c r="D246" s="7"/>
      <c r="H246" s="7"/>
      <c r="I246" s="7"/>
    </row>
    <row r="247">
      <c r="D247" s="7"/>
      <c r="H247" s="7"/>
      <c r="I247" s="7"/>
    </row>
    <row r="248">
      <c r="D248" s="7"/>
      <c r="H248" s="7"/>
      <c r="I248" s="7"/>
    </row>
    <row r="249">
      <c r="D249" s="7"/>
      <c r="H249" s="7"/>
      <c r="I249" s="7"/>
    </row>
    <row r="250">
      <c r="D250" s="7"/>
      <c r="H250" s="7"/>
      <c r="I250" s="7"/>
    </row>
    <row r="251">
      <c r="D251" s="7"/>
      <c r="H251" s="7"/>
      <c r="I251" s="7"/>
    </row>
    <row r="252">
      <c r="D252" s="7"/>
      <c r="H252" s="7"/>
      <c r="I252" s="7"/>
    </row>
    <row r="253">
      <c r="D253" s="7"/>
      <c r="H253" s="7"/>
      <c r="I253" s="7"/>
    </row>
    <row r="254">
      <c r="D254" s="7"/>
      <c r="H254" s="7"/>
      <c r="I254" s="7"/>
    </row>
    <row r="255">
      <c r="D255" s="7"/>
      <c r="H255" s="7"/>
      <c r="I255" s="7"/>
    </row>
    <row r="256">
      <c r="D256" s="7"/>
      <c r="H256" s="7"/>
      <c r="I256" s="7"/>
    </row>
    <row r="257">
      <c r="D257" s="7"/>
      <c r="H257" s="7"/>
      <c r="I257" s="7"/>
    </row>
    <row r="258">
      <c r="D258" s="7"/>
      <c r="H258" s="7"/>
      <c r="I258" s="7"/>
    </row>
    <row r="259">
      <c r="D259" s="7"/>
      <c r="H259" s="7"/>
      <c r="I259" s="7"/>
    </row>
    <row r="260">
      <c r="D260" s="7"/>
      <c r="H260" s="7"/>
      <c r="I260" s="7"/>
    </row>
    <row r="261">
      <c r="D261" s="7"/>
      <c r="H261" s="7"/>
      <c r="I261" s="7"/>
    </row>
    <row r="262">
      <c r="D262" s="7"/>
      <c r="H262" s="7"/>
      <c r="I262" s="7"/>
    </row>
    <row r="263">
      <c r="D263" s="7"/>
      <c r="H263" s="7"/>
      <c r="I263" s="7"/>
    </row>
    <row r="264">
      <c r="D264" s="7"/>
      <c r="H264" s="7"/>
      <c r="I264" s="7"/>
    </row>
    <row r="265">
      <c r="D265" s="7"/>
      <c r="H265" s="7"/>
      <c r="I265" s="7"/>
    </row>
    <row r="266">
      <c r="D266" s="7"/>
      <c r="H266" s="7"/>
      <c r="I266" s="7"/>
    </row>
    <row r="267">
      <c r="D267" s="7"/>
      <c r="H267" s="7"/>
      <c r="I267" s="7"/>
    </row>
    <row r="268">
      <c r="D268" s="7"/>
      <c r="H268" s="7"/>
      <c r="I268" s="7"/>
    </row>
    <row r="269">
      <c r="D269" s="7"/>
      <c r="H269" s="7"/>
      <c r="I269" s="7"/>
    </row>
    <row r="270">
      <c r="D270" s="7"/>
      <c r="H270" s="7"/>
      <c r="I270" s="7"/>
    </row>
    <row r="271">
      <c r="D271" s="7"/>
      <c r="H271" s="7"/>
      <c r="I271" s="7"/>
    </row>
    <row r="272">
      <c r="D272" s="7"/>
      <c r="H272" s="7"/>
      <c r="I272" s="7"/>
    </row>
    <row r="273">
      <c r="D273" s="7"/>
      <c r="H273" s="7"/>
      <c r="I273" s="7"/>
    </row>
    <row r="274">
      <c r="D274" s="7"/>
      <c r="H274" s="7"/>
      <c r="I274" s="7"/>
    </row>
    <row r="275">
      <c r="D275" s="7"/>
      <c r="H275" s="7"/>
      <c r="I275" s="7"/>
    </row>
    <row r="276">
      <c r="D276" s="7"/>
      <c r="H276" s="7"/>
      <c r="I276" s="7"/>
    </row>
    <row r="277">
      <c r="D277" s="7"/>
      <c r="H277" s="7"/>
      <c r="I277" s="7"/>
    </row>
    <row r="278">
      <c r="D278" s="7"/>
      <c r="H278" s="7"/>
      <c r="I278" s="7"/>
    </row>
    <row r="279">
      <c r="D279" s="7"/>
      <c r="H279" s="7"/>
      <c r="I279" s="7"/>
    </row>
    <row r="280">
      <c r="D280" s="7"/>
      <c r="H280" s="7"/>
      <c r="I280" s="7"/>
    </row>
    <row r="281">
      <c r="D281" s="7"/>
      <c r="H281" s="7"/>
      <c r="I281" s="7"/>
    </row>
    <row r="282">
      <c r="D282" s="7"/>
      <c r="H282" s="7"/>
      <c r="I282" s="7"/>
    </row>
    <row r="283">
      <c r="D283" s="7"/>
      <c r="H283" s="7"/>
      <c r="I283" s="7"/>
    </row>
    <row r="284">
      <c r="D284" s="7"/>
      <c r="H284" s="7"/>
      <c r="I284" s="7"/>
    </row>
    <row r="285">
      <c r="D285" s="7"/>
      <c r="H285" s="7"/>
      <c r="I285" s="7"/>
    </row>
    <row r="286">
      <c r="D286" s="7"/>
      <c r="H286" s="7"/>
      <c r="I286" s="7"/>
    </row>
    <row r="287">
      <c r="D287" s="7"/>
      <c r="H287" s="7"/>
      <c r="I287" s="7"/>
    </row>
    <row r="288">
      <c r="D288" s="7"/>
      <c r="H288" s="7"/>
      <c r="I288" s="7"/>
    </row>
    <row r="289">
      <c r="D289" s="7"/>
      <c r="H289" s="7"/>
      <c r="I289" s="7"/>
    </row>
    <row r="290">
      <c r="D290" s="7"/>
      <c r="H290" s="7"/>
      <c r="I290" s="7"/>
    </row>
    <row r="291">
      <c r="D291" s="7"/>
      <c r="H291" s="7"/>
      <c r="I291" s="7"/>
    </row>
    <row r="292">
      <c r="D292" s="7"/>
      <c r="H292" s="7"/>
      <c r="I292" s="7"/>
    </row>
    <row r="293">
      <c r="D293" s="7"/>
      <c r="H293" s="7"/>
      <c r="I293" s="7"/>
    </row>
    <row r="294">
      <c r="D294" s="7"/>
      <c r="H294" s="7"/>
      <c r="I294" s="7"/>
    </row>
    <row r="295">
      <c r="D295" s="7"/>
      <c r="H295" s="7"/>
      <c r="I295" s="7"/>
    </row>
    <row r="296">
      <c r="D296" s="7"/>
      <c r="H296" s="7"/>
      <c r="I296" s="7"/>
    </row>
    <row r="297">
      <c r="D297" s="7"/>
      <c r="H297" s="7"/>
      <c r="I297" s="7"/>
    </row>
    <row r="298">
      <c r="D298" s="7"/>
      <c r="H298" s="7"/>
      <c r="I298" s="7"/>
    </row>
    <row r="299">
      <c r="D299" s="7"/>
      <c r="H299" s="7"/>
      <c r="I299" s="7"/>
    </row>
    <row r="300">
      <c r="D300" s="7"/>
      <c r="H300" s="7"/>
      <c r="I300" s="7"/>
    </row>
    <row r="301">
      <c r="D301" s="7"/>
      <c r="H301" s="7"/>
      <c r="I301" s="7"/>
    </row>
    <row r="302">
      <c r="D302" s="7"/>
      <c r="H302" s="7"/>
      <c r="I302" s="7"/>
    </row>
    <row r="303">
      <c r="D303" s="7"/>
      <c r="H303" s="7"/>
      <c r="I303" s="7"/>
    </row>
    <row r="304">
      <c r="D304" s="7"/>
      <c r="H304" s="7"/>
      <c r="I304" s="7"/>
    </row>
    <row r="305">
      <c r="D305" s="7"/>
      <c r="H305" s="7"/>
      <c r="I305" s="7"/>
    </row>
    <row r="306">
      <c r="D306" s="7"/>
      <c r="H306" s="7"/>
      <c r="I306" s="7"/>
    </row>
    <row r="307">
      <c r="D307" s="7"/>
      <c r="H307" s="7"/>
      <c r="I307" s="7"/>
    </row>
    <row r="308">
      <c r="D308" s="7"/>
      <c r="H308" s="7"/>
      <c r="I308" s="7"/>
    </row>
    <row r="309">
      <c r="D309" s="7"/>
      <c r="H309" s="7"/>
      <c r="I309" s="7"/>
    </row>
    <row r="310">
      <c r="D310" s="7"/>
      <c r="H310" s="7"/>
      <c r="I310" s="7"/>
    </row>
    <row r="311">
      <c r="D311" s="7"/>
      <c r="H311" s="7"/>
      <c r="I311" s="7"/>
    </row>
    <row r="312">
      <c r="D312" s="7"/>
      <c r="H312" s="7"/>
      <c r="I312" s="7"/>
    </row>
    <row r="313">
      <c r="D313" s="7"/>
      <c r="H313" s="7"/>
      <c r="I313" s="7"/>
    </row>
    <row r="314">
      <c r="D314" s="7"/>
      <c r="H314" s="7"/>
      <c r="I314" s="7"/>
    </row>
    <row r="315">
      <c r="D315" s="7"/>
      <c r="H315" s="7"/>
      <c r="I315" s="7"/>
    </row>
    <row r="316">
      <c r="D316" s="7"/>
      <c r="H316" s="7"/>
      <c r="I316" s="7"/>
    </row>
    <row r="317">
      <c r="D317" s="7"/>
      <c r="H317" s="7"/>
      <c r="I317" s="7"/>
    </row>
    <row r="318">
      <c r="D318" s="7"/>
      <c r="H318" s="7"/>
      <c r="I318" s="7"/>
    </row>
    <row r="319">
      <c r="D319" s="7"/>
      <c r="H319" s="7"/>
      <c r="I319" s="7"/>
    </row>
    <row r="320">
      <c r="D320" s="7"/>
      <c r="H320" s="7"/>
      <c r="I320" s="7"/>
    </row>
    <row r="321">
      <c r="D321" s="7"/>
      <c r="H321" s="7"/>
      <c r="I321" s="7"/>
    </row>
    <row r="322">
      <c r="D322" s="7"/>
      <c r="H322" s="7"/>
      <c r="I322" s="7"/>
    </row>
    <row r="323">
      <c r="D323" s="7"/>
      <c r="H323" s="7"/>
      <c r="I323" s="7"/>
    </row>
    <row r="324">
      <c r="D324" s="7"/>
      <c r="H324" s="7"/>
      <c r="I324" s="7"/>
    </row>
    <row r="325">
      <c r="D325" s="7"/>
      <c r="H325" s="7"/>
      <c r="I325" s="7"/>
    </row>
    <row r="326">
      <c r="D326" s="7"/>
      <c r="H326" s="7"/>
      <c r="I326" s="7"/>
    </row>
    <row r="327">
      <c r="D327" s="7"/>
      <c r="H327" s="7"/>
      <c r="I327" s="7"/>
    </row>
    <row r="328">
      <c r="D328" s="7"/>
      <c r="H328" s="7"/>
      <c r="I328" s="7"/>
    </row>
    <row r="329">
      <c r="D329" s="7"/>
      <c r="H329" s="7"/>
      <c r="I329" s="7"/>
    </row>
    <row r="330">
      <c r="D330" s="7"/>
      <c r="H330" s="7"/>
      <c r="I330" s="7"/>
    </row>
    <row r="331">
      <c r="D331" s="7"/>
      <c r="H331" s="7"/>
      <c r="I331" s="7"/>
    </row>
    <row r="332">
      <c r="D332" s="7"/>
      <c r="H332" s="7"/>
      <c r="I332" s="7"/>
    </row>
    <row r="333">
      <c r="D333" s="7"/>
      <c r="H333" s="7"/>
      <c r="I333" s="7"/>
    </row>
    <row r="334">
      <c r="D334" s="7"/>
      <c r="H334" s="7"/>
      <c r="I334" s="7"/>
    </row>
    <row r="335">
      <c r="D335" s="7"/>
      <c r="H335" s="7"/>
      <c r="I335" s="7"/>
    </row>
    <row r="336">
      <c r="D336" s="7"/>
      <c r="H336" s="7"/>
      <c r="I336" s="7"/>
    </row>
    <row r="337">
      <c r="D337" s="7"/>
      <c r="H337" s="7"/>
      <c r="I337" s="7"/>
    </row>
    <row r="338">
      <c r="D338" s="7"/>
      <c r="H338" s="7"/>
      <c r="I338" s="7"/>
    </row>
    <row r="339">
      <c r="D339" s="7"/>
      <c r="H339" s="7"/>
      <c r="I339" s="7"/>
    </row>
    <row r="340">
      <c r="D340" s="7"/>
      <c r="H340" s="7"/>
      <c r="I340" s="7"/>
    </row>
    <row r="341">
      <c r="D341" s="7"/>
      <c r="H341" s="7"/>
      <c r="I341" s="7"/>
    </row>
    <row r="342">
      <c r="D342" s="7"/>
      <c r="H342" s="7"/>
      <c r="I342" s="7"/>
    </row>
    <row r="343">
      <c r="D343" s="7"/>
      <c r="H343" s="7"/>
      <c r="I343" s="7"/>
    </row>
    <row r="344">
      <c r="D344" s="7"/>
      <c r="H344" s="7"/>
      <c r="I344" s="7"/>
    </row>
    <row r="345">
      <c r="D345" s="7"/>
      <c r="H345" s="7"/>
      <c r="I345" s="7"/>
    </row>
    <row r="346">
      <c r="D346" s="7"/>
      <c r="H346" s="7"/>
      <c r="I346" s="7"/>
    </row>
    <row r="347">
      <c r="D347" s="7"/>
      <c r="H347" s="7"/>
      <c r="I347" s="7"/>
    </row>
    <row r="348">
      <c r="D348" s="7"/>
      <c r="H348" s="7"/>
      <c r="I348" s="7"/>
    </row>
    <row r="349">
      <c r="D349" s="7"/>
      <c r="H349" s="7"/>
      <c r="I349" s="7"/>
    </row>
    <row r="350">
      <c r="D350" s="7"/>
      <c r="H350" s="7"/>
      <c r="I350" s="7"/>
    </row>
    <row r="351">
      <c r="D351" s="7"/>
      <c r="H351" s="7"/>
      <c r="I351" s="7"/>
    </row>
    <row r="352">
      <c r="D352" s="7"/>
      <c r="H352" s="7"/>
      <c r="I352" s="7"/>
    </row>
    <row r="353">
      <c r="D353" s="7"/>
      <c r="H353" s="7"/>
      <c r="I353" s="7"/>
    </row>
    <row r="354">
      <c r="D354" s="7"/>
      <c r="H354" s="7"/>
      <c r="I354" s="7"/>
    </row>
    <row r="355">
      <c r="D355" s="7"/>
      <c r="H355" s="7"/>
      <c r="I355" s="7"/>
    </row>
    <row r="356">
      <c r="D356" s="7"/>
      <c r="H356" s="7"/>
      <c r="I356" s="7"/>
    </row>
    <row r="357">
      <c r="D357" s="7"/>
      <c r="H357" s="7"/>
      <c r="I357" s="7"/>
    </row>
    <row r="358">
      <c r="D358" s="7"/>
      <c r="H358" s="7"/>
      <c r="I358" s="7"/>
    </row>
    <row r="359">
      <c r="D359" s="7"/>
      <c r="H359" s="7"/>
      <c r="I359" s="7"/>
    </row>
    <row r="360">
      <c r="D360" s="7"/>
      <c r="H360" s="7"/>
      <c r="I360" s="7"/>
    </row>
    <row r="361">
      <c r="D361" s="7"/>
      <c r="H361" s="7"/>
      <c r="I361" s="7"/>
    </row>
    <row r="362">
      <c r="D362" s="7"/>
      <c r="H362" s="7"/>
      <c r="I362" s="7"/>
    </row>
    <row r="363">
      <c r="D363" s="7"/>
      <c r="H363" s="7"/>
      <c r="I363" s="7"/>
    </row>
    <row r="364">
      <c r="D364" s="7"/>
      <c r="H364" s="7"/>
      <c r="I364" s="7"/>
    </row>
    <row r="365">
      <c r="D365" s="7"/>
      <c r="H365" s="7"/>
      <c r="I365" s="7"/>
    </row>
    <row r="366">
      <c r="D366" s="7"/>
      <c r="H366" s="7"/>
      <c r="I366" s="7"/>
    </row>
    <row r="367">
      <c r="D367" s="7"/>
      <c r="H367" s="7"/>
      <c r="I367" s="7"/>
    </row>
    <row r="368">
      <c r="D368" s="7"/>
      <c r="H368" s="7"/>
      <c r="I368" s="7"/>
    </row>
    <row r="369">
      <c r="D369" s="7"/>
      <c r="H369" s="7"/>
      <c r="I369" s="7"/>
    </row>
    <row r="370">
      <c r="D370" s="7"/>
      <c r="H370" s="7"/>
      <c r="I370" s="7"/>
    </row>
    <row r="371">
      <c r="D371" s="7"/>
      <c r="H371" s="7"/>
      <c r="I371" s="7"/>
    </row>
    <row r="372">
      <c r="D372" s="7"/>
      <c r="H372" s="7"/>
      <c r="I372" s="7"/>
    </row>
    <row r="373">
      <c r="D373" s="7"/>
      <c r="H373" s="7"/>
      <c r="I373" s="7"/>
    </row>
    <row r="374">
      <c r="D374" s="7"/>
      <c r="H374" s="7"/>
      <c r="I374" s="7"/>
    </row>
    <row r="375">
      <c r="D375" s="7"/>
      <c r="H375" s="7"/>
      <c r="I375" s="7"/>
    </row>
    <row r="376">
      <c r="D376" s="7"/>
      <c r="H376" s="7"/>
      <c r="I376" s="7"/>
    </row>
    <row r="377">
      <c r="D377" s="7"/>
      <c r="H377" s="7"/>
      <c r="I377" s="7"/>
    </row>
    <row r="378">
      <c r="D378" s="7"/>
      <c r="H378" s="7"/>
      <c r="I378" s="7"/>
    </row>
    <row r="379">
      <c r="D379" s="7"/>
      <c r="H379" s="7"/>
      <c r="I379" s="7"/>
    </row>
    <row r="380">
      <c r="D380" s="7"/>
      <c r="H380" s="7"/>
      <c r="I380" s="7"/>
    </row>
    <row r="381">
      <c r="D381" s="7"/>
      <c r="H381" s="7"/>
      <c r="I381" s="7"/>
    </row>
    <row r="382">
      <c r="D382" s="7"/>
      <c r="H382" s="7"/>
      <c r="I382" s="7"/>
    </row>
    <row r="383">
      <c r="D383" s="7"/>
      <c r="H383" s="7"/>
      <c r="I383" s="7"/>
    </row>
    <row r="384">
      <c r="D384" s="7"/>
      <c r="H384" s="7"/>
      <c r="I384" s="7"/>
    </row>
    <row r="385">
      <c r="D385" s="7"/>
      <c r="H385" s="7"/>
      <c r="I385" s="7"/>
    </row>
    <row r="386">
      <c r="D386" s="7"/>
      <c r="H386" s="7"/>
      <c r="I386" s="7"/>
    </row>
    <row r="387">
      <c r="D387" s="7"/>
      <c r="H387" s="7"/>
      <c r="I387" s="7"/>
    </row>
    <row r="388">
      <c r="D388" s="7"/>
      <c r="H388" s="7"/>
      <c r="I388" s="7"/>
    </row>
    <row r="389">
      <c r="D389" s="7"/>
      <c r="H389" s="7"/>
      <c r="I389" s="7"/>
    </row>
    <row r="390">
      <c r="D390" s="7"/>
      <c r="H390" s="7"/>
      <c r="I390" s="7"/>
    </row>
    <row r="391">
      <c r="D391" s="7"/>
      <c r="H391" s="7"/>
      <c r="I391" s="7"/>
    </row>
    <row r="392">
      <c r="D392" s="7"/>
      <c r="H392" s="7"/>
      <c r="I392" s="7"/>
    </row>
    <row r="393">
      <c r="D393" s="7"/>
      <c r="H393" s="7"/>
      <c r="I393" s="7"/>
    </row>
    <row r="394">
      <c r="D394" s="7"/>
      <c r="H394" s="7"/>
      <c r="I394" s="7"/>
    </row>
    <row r="395">
      <c r="D395" s="7"/>
      <c r="H395" s="7"/>
      <c r="I395" s="7"/>
    </row>
    <row r="396">
      <c r="D396" s="7"/>
      <c r="H396" s="7"/>
      <c r="I396" s="7"/>
    </row>
    <row r="397">
      <c r="D397" s="7"/>
      <c r="H397" s="7"/>
      <c r="I397" s="7"/>
    </row>
    <row r="398">
      <c r="D398" s="7"/>
      <c r="H398" s="7"/>
      <c r="I398" s="7"/>
    </row>
    <row r="399">
      <c r="D399" s="7"/>
      <c r="H399" s="7"/>
      <c r="I399" s="7"/>
    </row>
    <row r="400">
      <c r="D400" s="7"/>
      <c r="H400" s="7"/>
      <c r="I400" s="7"/>
    </row>
    <row r="401">
      <c r="D401" s="7"/>
      <c r="H401" s="7"/>
      <c r="I401" s="7"/>
    </row>
    <row r="402">
      <c r="D402" s="7"/>
      <c r="H402" s="7"/>
      <c r="I402" s="7"/>
    </row>
    <row r="403">
      <c r="D403" s="7"/>
      <c r="H403" s="7"/>
      <c r="I403" s="7"/>
    </row>
    <row r="404">
      <c r="D404" s="7"/>
      <c r="H404" s="7"/>
      <c r="I404" s="7"/>
    </row>
    <row r="405">
      <c r="D405" s="7"/>
      <c r="H405" s="7"/>
      <c r="I405" s="7"/>
    </row>
    <row r="406">
      <c r="D406" s="7"/>
      <c r="H406" s="7"/>
      <c r="I406" s="7"/>
    </row>
    <row r="407">
      <c r="D407" s="7"/>
      <c r="H407" s="7"/>
      <c r="I407" s="7"/>
    </row>
    <row r="408">
      <c r="D408" s="7"/>
      <c r="H408" s="7"/>
      <c r="I408" s="7"/>
    </row>
    <row r="409">
      <c r="D409" s="7"/>
      <c r="H409" s="7"/>
      <c r="I409" s="7"/>
    </row>
    <row r="410">
      <c r="D410" s="7"/>
      <c r="H410" s="7"/>
      <c r="I410" s="7"/>
    </row>
    <row r="411">
      <c r="D411" s="7"/>
      <c r="H411" s="7"/>
      <c r="I411" s="7"/>
    </row>
    <row r="412">
      <c r="D412" s="7"/>
      <c r="H412" s="7"/>
      <c r="I412" s="7"/>
    </row>
    <row r="413">
      <c r="D413" s="7"/>
      <c r="H413" s="7"/>
      <c r="I413" s="7"/>
    </row>
    <row r="414">
      <c r="D414" s="7"/>
      <c r="H414" s="7"/>
      <c r="I414" s="7"/>
    </row>
    <row r="415">
      <c r="D415" s="7"/>
      <c r="H415" s="7"/>
      <c r="I415" s="7"/>
    </row>
    <row r="416">
      <c r="D416" s="7"/>
      <c r="H416" s="7"/>
      <c r="I416" s="7"/>
    </row>
    <row r="417">
      <c r="D417" s="7"/>
      <c r="H417" s="7"/>
      <c r="I417" s="7"/>
    </row>
    <row r="418">
      <c r="D418" s="7"/>
      <c r="H418" s="7"/>
      <c r="I418" s="7"/>
    </row>
    <row r="419">
      <c r="D419" s="7"/>
      <c r="H419" s="7"/>
      <c r="I419" s="7"/>
    </row>
    <row r="420">
      <c r="D420" s="7"/>
      <c r="H420" s="7"/>
      <c r="I420" s="7"/>
    </row>
    <row r="421">
      <c r="D421" s="7"/>
      <c r="H421" s="7"/>
      <c r="I421" s="7"/>
    </row>
    <row r="422">
      <c r="D422" s="7"/>
      <c r="H422" s="7"/>
      <c r="I422" s="7"/>
    </row>
    <row r="423">
      <c r="D423" s="7"/>
      <c r="H423" s="7"/>
      <c r="I423" s="7"/>
    </row>
    <row r="424">
      <c r="D424" s="7"/>
      <c r="H424" s="7"/>
      <c r="I424" s="7"/>
    </row>
    <row r="425">
      <c r="D425" s="7"/>
      <c r="H425" s="7"/>
      <c r="I425" s="7"/>
    </row>
    <row r="426">
      <c r="D426" s="7"/>
      <c r="H426" s="7"/>
      <c r="I426" s="7"/>
    </row>
    <row r="427">
      <c r="D427" s="7"/>
      <c r="H427" s="7"/>
      <c r="I427" s="7"/>
    </row>
    <row r="428">
      <c r="D428" s="7"/>
      <c r="H428" s="7"/>
      <c r="I428" s="7"/>
    </row>
    <row r="429">
      <c r="D429" s="7"/>
      <c r="H429" s="7"/>
      <c r="I429" s="7"/>
    </row>
    <row r="430">
      <c r="D430" s="7"/>
      <c r="H430" s="7"/>
      <c r="I430" s="7"/>
    </row>
    <row r="431">
      <c r="D431" s="7"/>
      <c r="H431" s="7"/>
      <c r="I431" s="7"/>
    </row>
    <row r="432">
      <c r="D432" s="7"/>
      <c r="H432" s="7"/>
      <c r="I432" s="7"/>
    </row>
    <row r="433">
      <c r="D433" s="7"/>
      <c r="H433" s="7"/>
      <c r="I433" s="7"/>
    </row>
    <row r="434">
      <c r="D434" s="7"/>
      <c r="H434" s="7"/>
      <c r="I434" s="7"/>
    </row>
    <row r="435">
      <c r="D435" s="7"/>
      <c r="H435" s="7"/>
      <c r="I435" s="7"/>
    </row>
    <row r="436">
      <c r="D436" s="7"/>
      <c r="H436" s="7"/>
      <c r="I436" s="7"/>
    </row>
    <row r="437">
      <c r="D437" s="7"/>
      <c r="H437" s="7"/>
      <c r="I437" s="7"/>
    </row>
    <row r="438">
      <c r="D438" s="7"/>
      <c r="H438" s="7"/>
      <c r="I438" s="7"/>
    </row>
    <row r="439">
      <c r="D439" s="7"/>
      <c r="H439" s="7"/>
      <c r="I439" s="7"/>
    </row>
    <row r="440">
      <c r="D440" s="7"/>
      <c r="H440" s="7"/>
      <c r="I440" s="7"/>
    </row>
    <row r="441">
      <c r="D441" s="7"/>
      <c r="H441" s="7"/>
      <c r="I441" s="7"/>
    </row>
    <row r="442">
      <c r="D442" s="7"/>
      <c r="H442" s="7"/>
      <c r="I442" s="7"/>
    </row>
    <row r="443">
      <c r="D443" s="7"/>
      <c r="H443" s="7"/>
      <c r="I443" s="7"/>
    </row>
    <row r="444">
      <c r="D444" s="7"/>
      <c r="H444" s="7"/>
      <c r="I444" s="7"/>
    </row>
    <row r="445">
      <c r="D445" s="7"/>
      <c r="H445" s="7"/>
      <c r="I445" s="7"/>
    </row>
    <row r="446">
      <c r="D446" s="7"/>
      <c r="H446" s="7"/>
      <c r="I446" s="7"/>
    </row>
    <row r="447">
      <c r="D447" s="7"/>
      <c r="H447" s="7"/>
      <c r="I447" s="7"/>
    </row>
    <row r="448">
      <c r="D448" s="7"/>
      <c r="H448" s="7"/>
      <c r="I448" s="7"/>
    </row>
    <row r="449">
      <c r="D449" s="7"/>
      <c r="H449" s="7"/>
      <c r="I449" s="7"/>
    </row>
    <row r="450">
      <c r="D450" s="7"/>
      <c r="H450" s="7"/>
      <c r="I450" s="7"/>
    </row>
    <row r="451">
      <c r="D451" s="7"/>
      <c r="H451" s="7"/>
      <c r="I451" s="7"/>
    </row>
    <row r="452">
      <c r="D452" s="7"/>
      <c r="H452" s="7"/>
      <c r="I452" s="7"/>
    </row>
    <row r="453">
      <c r="D453" s="7"/>
      <c r="H453" s="7"/>
      <c r="I453" s="7"/>
    </row>
    <row r="454">
      <c r="D454" s="7"/>
      <c r="H454" s="7"/>
      <c r="I454" s="7"/>
    </row>
    <row r="455">
      <c r="D455" s="7"/>
      <c r="H455" s="7"/>
      <c r="I455" s="7"/>
    </row>
    <row r="456">
      <c r="D456" s="7"/>
      <c r="H456" s="7"/>
      <c r="I456" s="7"/>
    </row>
    <row r="457">
      <c r="D457" s="7"/>
      <c r="H457" s="7"/>
      <c r="I457" s="7"/>
    </row>
    <row r="458">
      <c r="D458" s="7"/>
      <c r="H458" s="7"/>
      <c r="I458" s="7"/>
    </row>
    <row r="459">
      <c r="D459" s="7"/>
      <c r="H459" s="7"/>
      <c r="I459" s="7"/>
    </row>
    <row r="460">
      <c r="D460" s="7"/>
      <c r="H460" s="7"/>
      <c r="I460" s="7"/>
    </row>
    <row r="461">
      <c r="D461" s="7"/>
      <c r="H461" s="7"/>
      <c r="I461" s="7"/>
    </row>
    <row r="462">
      <c r="D462" s="7"/>
      <c r="H462" s="7"/>
      <c r="I462" s="7"/>
    </row>
    <row r="463">
      <c r="D463" s="7"/>
      <c r="H463" s="7"/>
      <c r="I463" s="7"/>
    </row>
    <row r="464">
      <c r="D464" s="7"/>
      <c r="H464" s="7"/>
      <c r="I464" s="7"/>
    </row>
    <row r="465">
      <c r="D465" s="7"/>
      <c r="H465" s="7"/>
      <c r="I465" s="7"/>
    </row>
    <row r="466">
      <c r="D466" s="7"/>
      <c r="H466" s="7"/>
      <c r="I466" s="7"/>
    </row>
    <row r="467">
      <c r="D467" s="7"/>
      <c r="H467" s="7"/>
      <c r="I467" s="7"/>
    </row>
    <row r="468">
      <c r="D468" s="7"/>
      <c r="H468" s="7"/>
      <c r="I468" s="7"/>
    </row>
    <row r="469">
      <c r="D469" s="7"/>
      <c r="H469" s="7"/>
      <c r="I469" s="7"/>
    </row>
    <row r="470">
      <c r="D470" s="7"/>
      <c r="H470" s="7"/>
      <c r="I470" s="7"/>
    </row>
    <row r="471">
      <c r="D471" s="7"/>
      <c r="H471" s="7"/>
      <c r="I471" s="7"/>
    </row>
    <row r="472">
      <c r="D472" s="7"/>
      <c r="H472" s="7"/>
      <c r="I472" s="7"/>
    </row>
    <row r="473">
      <c r="D473" s="7"/>
      <c r="H473" s="7"/>
      <c r="I473" s="7"/>
    </row>
    <row r="474">
      <c r="D474" s="7"/>
      <c r="H474" s="7"/>
      <c r="I474" s="7"/>
    </row>
    <row r="475">
      <c r="D475" s="7"/>
      <c r="H475" s="7"/>
      <c r="I475" s="7"/>
    </row>
    <row r="476">
      <c r="D476" s="7"/>
      <c r="H476" s="7"/>
      <c r="I476" s="7"/>
    </row>
    <row r="477">
      <c r="D477" s="7"/>
      <c r="H477" s="7"/>
      <c r="I477" s="7"/>
    </row>
    <row r="478">
      <c r="D478" s="7"/>
      <c r="H478" s="7"/>
      <c r="I478" s="7"/>
    </row>
    <row r="479">
      <c r="D479" s="7"/>
      <c r="H479" s="7"/>
      <c r="I479" s="7"/>
    </row>
    <row r="480">
      <c r="D480" s="7"/>
      <c r="H480" s="7"/>
      <c r="I480" s="7"/>
    </row>
    <row r="481">
      <c r="D481" s="7"/>
      <c r="H481" s="7"/>
      <c r="I481" s="7"/>
    </row>
    <row r="482">
      <c r="D482" s="7"/>
      <c r="H482" s="7"/>
      <c r="I482" s="7"/>
    </row>
    <row r="483">
      <c r="D483" s="7"/>
      <c r="H483" s="7"/>
      <c r="I483" s="7"/>
    </row>
    <row r="484">
      <c r="D484" s="7"/>
      <c r="H484" s="7"/>
      <c r="I484" s="7"/>
    </row>
    <row r="485">
      <c r="D485" s="7"/>
      <c r="H485" s="7"/>
      <c r="I485" s="7"/>
    </row>
    <row r="486">
      <c r="D486" s="7"/>
      <c r="H486" s="7"/>
      <c r="I486" s="7"/>
    </row>
    <row r="487">
      <c r="D487" s="7"/>
      <c r="H487" s="7"/>
      <c r="I487" s="7"/>
    </row>
    <row r="488">
      <c r="D488" s="7"/>
      <c r="H488" s="7"/>
      <c r="I488" s="7"/>
    </row>
    <row r="489">
      <c r="D489" s="7"/>
      <c r="H489" s="7"/>
      <c r="I489" s="7"/>
    </row>
    <row r="490">
      <c r="D490" s="7"/>
      <c r="H490" s="7"/>
      <c r="I490" s="7"/>
    </row>
    <row r="491">
      <c r="D491" s="7"/>
      <c r="H491" s="7"/>
      <c r="I491" s="7"/>
    </row>
    <row r="492">
      <c r="D492" s="7"/>
      <c r="H492" s="7"/>
      <c r="I492" s="7"/>
    </row>
    <row r="493">
      <c r="D493" s="7"/>
      <c r="H493" s="7"/>
      <c r="I493" s="7"/>
    </row>
    <row r="494">
      <c r="D494" s="7"/>
      <c r="H494" s="7"/>
      <c r="I494" s="7"/>
    </row>
    <row r="495">
      <c r="D495" s="7"/>
      <c r="H495" s="7"/>
      <c r="I495" s="7"/>
    </row>
    <row r="496">
      <c r="D496" s="7"/>
      <c r="H496" s="7"/>
      <c r="I496" s="7"/>
    </row>
    <row r="497">
      <c r="D497" s="7"/>
      <c r="H497" s="7"/>
      <c r="I497" s="7"/>
    </row>
    <row r="498">
      <c r="D498" s="7"/>
      <c r="H498" s="7"/>
      <c r="I498" s="7"/>
    </row>
    <row r="499">
      <c r="D499" s="7"/>
      <c r="H499" s="7"/>
      <c r="I499" s="7"/>
    </row>
    <row r="500">
      <c r="D500" s="7"/>
      <c r="H500" s="7"/>
      <c r="I500" s="7"/>
    </row>
    <row r="501">
      <c r="D501" s="7"/>
      <c r="H501" s="7"/>
      <c r="I501" s="7"/>
    </row>
    <row r="502">
      <c r="D502" s="7"/>
      <c r="H502" s="7"/>
      <c r="I502" s="7"/>
    </row>
    <row r="503">
      <c r="D503" s="7"/>
      <c r="H503" s="7"/>
      <c r="I503" s="7"/>
    </row>
    <row r="504">
      <c r="D504" s="7"/>
      <c r="H504" s="7"/>
      <c r="I504" s="7"/>
    </row>
    <row r="505">
      <c r="D505" s="7"/>
      <c r="H505" s="7"/>
      <c r="I505" s="7"/>
    </row>
    <row r="506">
      <c r="D506" s="7"/>
      <c r="H506" s="7"/>
      <c r="I506" s="7"/>
    </row>
    <row r="507">
      <c r="D507" s="7"/>
      <c r="H507" s="7"/>
      <c r="I507" s="7"/>
    </row>
    <row r="508">
      <c r="D508" s="7"/>
      <c r="H508" s="7"/>
      <c r="I508" s="7"/>
    </row>
    <row r="509">
      <c r="D509" s="7"/>
      <c r="H509" s="7"/>
      <c r="I509" s="7"/>
    </row>
    <row r="510">
      <c r="D510" s="7"/>
      <c r="H510" s="7"/>
      <c r="I510" s="7"/>
    </row>
    <row r="511">
      <c r="D511" s="7"/>
      <c r="H511" s="7"/>
      <c r="I511" s="7"/>
    </row>
    <row r="512">
      <c r="D512" s="7"/>
      <c r="H512" s="7"/>
      <c r="I512" s="7"/>
    </row>
    <row r="513">
      <c r="D513" s="7"/>
      <c r="H513" s="7"/>
      <c r="I513" s="7"/>
    </row>
    <row r="514">
      <c r="D514" s="7"/>
      <c r="H514" s="7"/>
      <c r="I514" s="7"/>
    </row>
    <row r="515">
      <c r="D515" s="7"/>
      <c r="H515" s="7"/>
      <c r="I515" s="7"/>
    </row>
    <row r="516">
      <c r="D516" s="7"/>
      <c r="H516" s="7"/>
      <c r="I516" s="7"/>
    </row>
    <row r="517">
      <c r="D517" s="7"/>
      <c r="H517" s="7"/>
      <c r="I517" s="7"/>
    </row>
    <row r="518">
      <c r="D518" s="7"/>
      <c r="H518" s="7"/>
      <c r="I518" s="7"/>
    </row>
    <row r="519">
      <c r="D519" s="7"/>
      <c r="H519" s="7"/>
      <c r="I519" s="7"/>
    </row>
    <row r="520">
      <c r="D520" s="7"/>
      <c r="H520" s="7"/>
      <c r="I520" s="7"/>
    </row>
    <row r="521">
      <c r="D521" s="7"/>
      <c r="H521" s="7"/>
      <c r="I521" s="7"/>
    </row>
    <row r="522">
      <c r="D522" s="7"/>
      <c r="H522" s="7"/>
      <c r="I522" s="7"/>
    </row>
    <row r="523">
      <c r="D523" s="7"/>
      <c r="H523" s="7"/>
      <c r="I523" s="7"/>
    </row>
    <row r="524">
      <c r="D524" s="7"/>
      <c r="H524" s="7"/>
      <c r="I524" s="7"/>
    </row>
    <row r="525">
      <c r="D525" s="7"/>
      <c r="H525" s="7"/>
      <c r="I525" s="7"/>
    </row>
    <row r="526">
      <c r="D526" s="7"/>
      <c r="H526" s="7"/>
      <c r="I526" s="7"/>
    </row>
    <row r="527">
      <c r="D527" s="7"/>
      <c r="H527" s="7"/>
      <c r="I527" s="7"/>
    </row>
    <row r="528">
      <c r="D528" s="7"/>
      <c r="H528" s="7"/>
      <c r="I528" s="7"/>
    </row>
    <row r="529">
      <c r="D529" s="7"/>
      <c r="H529" s="7"/>
      <c r="I529" s="7"/>
    </row>
    <row r="530">
      <c r="D530" s="7"/>
      <c r="H530" s="7"/>
      <c r="I530" s="7"/>
    </row>
    <row r="531">
      <c r="D531" s="7"/>
      <c r="H531" s="7"/>
      <c r="I531" s="7"/>
    </row>
    <row r="532">
      <c r="D532" s="7"/>
      <c r="H532" s="7"/>
      <c r="I532" s="7"/>
    </row>
    <row r="533">
      <c r="D533" s="7"/>
      <c r="H533" s="7"/>
      <c r="I533" s="7"/>
    </row>
    <row r="534">
      <c r="D534" s="7"/>
      <c r="H534" s="7"/>
      <c r="I534" s="7"/>
    </row>
    <row r="535">
      <c r="D535" s="7"/>
      <c r="H535" s="7"/>
      <c r="I535" s="7"/>
    </row>
    <row r="536">
      <c r="D536" s="7"/>
      <c r="H536" s="7"/>
      <c r="I536" s="7"/>
    </row>
    <row r="537">
      <c r="D537" s="7"/>
      <c r="H537" s="7"/>
      <c r="I537" s="7"/>
    </row>
    <row r="538">
      <c r="D538" s="7"/>
      <c r="H538" s="7"/>
      <c r="I538" s="7"/>
    </row>
    <row r="539">
      <c r="D539" s="7"/>
      <c r="H539" s="7"/>
      <c r="I539" s="7"/>
    </row>
    <row r="540">
      <c r="D540" s="7"/>
      <c r="H540" s="7"/>
      <c r="I540" s="7"/>
    </row>
    <row r="541">
      <c r="D541" s="7"/>
      <c r="H541" s="7"/>
      <c r="I541" s="7"/>
    </row>
    <row r="542">
      <c r="D542" s="7"/>
      <c r="H542" s="7"/>
      <c r="I542" s="7"/>
    </row>
    <row r="543">
      <c r="D543" s="7"/>
      <c r="H543" s="7"/>
      <c r="I543" s="7"/>
    </row>
    <row r="544">
      <c r="D544" s="7"/>
      <c r="H544" s="7"/>
      <c r="I544" s="7"/>
    </row>
    <row r="545">
      <c r="D545" s="7"/>
      <c r="H545" s="7"/>
      <c r="I545" s="7"/>
    </row>
    <row r="546">
      <c r="D546" s="7"/>
      <c r="H546" s="7"/>
      <c r="I546" s="7"/>
    </row>
    <row r="547">
      <c r="D547" s="7"/>
      <c r="H547" s="7"/>
      <c r="I547" s="7"/>
    </row>
    <row r="548">
      <c r="D548" s="7"/>
      <c r="H548" s="7"/>
      <c r="I548" s="7"/>
    </row>
    <row r="549">
      <c r="D549" s="7"/>
      <c r="H549" s="7"/>
      <c r="I549" s="7"/>
    </row>
    <row r="550">
      <c r="D550" s="7"/>
      <c r="H550" s="7"/>
      <c r="I550" s="7"/>
    </row>
    <row r="551">
      <c r="D551" s="7"/>
      <c r="H551" s="7"/>
      <c r="I551" s="7"/>
    </row>
    <row r="552">
      <c r="D552" s="7"/>
      <c r="H552" s="7"/>
      <c r="I552" s="7"/>
    </row>
    <row r="553">
      <c r="D553" s="7"/>
      <c r="H553" s="7"/>
      <c r="I553" s="7"/>
    </row>
    <row r="554">
      <c r="D554" s="7"/>
      <c r="H554" s="7"/>
      <c r="I554" s="7"/>
    </row>
    <row r="555">
      <c r="D555" s="7"/>
      <c r="H555" s="7"/>
      <c r="I555" s="7"/>
    </row>
    <row r="556">
      <c r="D556" s="7"/>
      <c r="H556" s="7"/>
      <c r="I556" s="7"/>
    </row>
    <row r="557">
      <c r="D557" s="7"/>
      <c r="H557" s="7"/>
      <c r="I557" s="7"/>
    </row>
    <row r="558">
      <c r="D558" s="7"/>
      <c r="H558" s="7"/>
      <c r="I558" s="7"/>
    </row>
    <row r="559">
      <c r="D559" s="7"/>
      <c r="H559" s="7"/>
      <c r="I559" s="7"/>
    </row>
    <row r="560">
      <c r="D560" s="7"/>
      <c r="H560" s="7"/>
      <c r="I560" s="7"/>
    </row>
    <row r="561">
      <c r="D561" s="7"/>
      <c r="H561" s="7"/>
      <c r="I561" s="7"/>
    </row>
    <row r="562">
      <c r="D562" s="7"/>
      <c r="H562" s="7"/>
      <c r="I562" s="7"/>
    </row>
    <row r="563">
      <c r="D563" s="7"/>
      <c r="H563" s="7"/>
      <c r="I563" s="7"/>
    </row>
    <row r="564">
      <c r="D564" s="7"/>
      <c r="H564" s="7"/>
      <c r="I564" s="7"/>
    </row>
    <row r="565">
      <c r="D565" s="7"/>
      <c r="H565" s="7"/>
      <c r="I565" s="7"/>
    </row>
    <row r="566">
      <c r="D566" s="7"/>
      <c r="H566" s="7"/>
      <c r="I566" s="7"/>
    </row>
    <row r="567">
      <c r="D567" s="7"/>
      <c r="H567" s="7"/>
      <c r="I567" s="7"/>
    </row>
    <row r="568">
      <c r="D568" s="7"/>
      <c r="H568" s="7"/>
      <c r="I568" s="7"/>
    </row>
    <row r="569">
      <c r="D569" s="7"/>
      <c r="H569" s="7"/>
      <c r="I569" s="7"/>
    </row>
    <row r="570">
      <c r="D570" s="7"/>
      <c r="H570" s="7"/>
      <c r="I570" s="7"/>
    </row>
    <row r="571">
      <c r="D571" s="7"/>
      <c r="H571" s="7"/>
      <c r="I571" s="7"/>
    </row>
    <row r="572">
      <c r="D572" s="7"/>
      <c r="H572" s="7"/>
      <c r="I572" s="7"/>
    </row>
    <row r="573">
      <c r="D573" s="7"/>
      <c r="H573" s="7"/>
      <c r="I573" s="7"/>
    </row>
    <row r="574">
      <c r="D574" s="7"/>
      <c r="H574" s="7"/>
      <c r="I574" s="7"/>
    </row>
    <row r="575">
      <c r="D575" s="7"/>
      <c r="H575" s="7"/>
      <c r="I575" s="7"/>
    </row>
    <row r="576">
      <c r="D576" s="7"/>
      <c r="H576" s="7"/>
      <c r="I576" s="7"/>
    </row>
    <row r="577">
      <c r="D577" s="7"/>
      <c r="H577" s="7"/>
      <c r="I577" s="7"/>
    </row>
    <row r="578">
      <c r="D578" s="7"/>
      <c r="H578" s="7"/>
      <c r="I578" s="7"/>
    </row>
    <row r="579">
      <c r="D579" s="7"/>
      <c r="H579" s="7"/>
      <c r="I579" s="7"/>
    </row>
    <row r="580">
      <c r="D580" s="7"/>
      <c r="H580" s="7"/>
      <c r="I580" s="7"/>
    </row>
    <row r="581">
      <c r="D581" s="7"/>
      <c r="H581" s="7"/>
      <c r="I581" s="7"/>
    </row>
    <row r="582">
      <c r="D582" s="7"/>
      <c r="H582" s="7"/>
      <c r="I582" s="7"/>
    </row>
    <row r="583">
      <c r="D583" s="7"/>
      <c r="H583" s="7"/>
      <c r="I583" s="7"/>
    </row>
    <row r="584">
      <c r="D584" s="7"/>
      <c r="H584" s="7"/>
      <c r="I584" s="7"/>
    </row>
    <row r="585">
      <c r="D585" s="7"/>
      <c r="H585" s="7"/>
      <c r="I585" s="7"/>
    </row>
    <row r="586">
      <c r="D586" s="7"/>
      <c r="H586" s="7"/>
      <c r="I586" s="7"/>
    </row>
    <row r="587">
      <c r="D587" s="7"/>
      <c r="H587" s="7"/>
      <c r="I587" s="7"/>
    </row>
    <row r="588">
      <c r="D588" s="7"/>
      <c r="H588" s="7"/>
      <c r="I588" s="7"/>
    </row>
    <row r="589">
      <c r="D589" s="7"/>
      <c r="H589" s="7"/>
      <c r="I589" s="7"/>
    </row>
    <row r="590">
      <c r="D590" s="7"/>
      <c r="H590" s="7"/>
      <c r="I590" s="7"/>
    </row>
    <row r="591">
      <c r="D591" s="7"/>
      <c r="H591" s="7"/>
      <c r="I591" s="7"/>
    </row>
    <row r="592">
      <c r="D592" s="7"/>
      <c r="H592" s="7"/>
      <c r="I592" s="7"/>
    </row>
    <row r="593">
      <c r="D593" s="7"/>
      <c r="H593" s="7"/>
      <c r="I593" s="7"/>
    </row>
    <row r="594">
      <c r="D594" s="7"/>
      <c r="H594" s="7"/>
      <c r="I594" s="7"/>
    </row>
    <row r="595">
      <c r="D595" s="7"/>
      <c r="H595" s="7"/>
      <c r="I595" s="7"/>
    </row>
    <row r="596">
      <c r="D596" s="7"/>
      <c r="H596" s="7"/>
      <c r="I596" s="7"/>
    </row>
    <row r="597">
      <c r="D597" s="7"/>
      <c r="H597" s="7"/>
      <c r="I597" s="7"/>
    </row>
    <row r="598">
      <c r="D598" s="7"/>
      <c r="H598" s="7"/>
      <c r="I598" s="7"/>
    </row>
    <row r="599">
      <c r="D599" s="7"/>
      <c r="H599" s="7"/>
      <c r="I599" s="7"/>
    </row>
    <row r="600">
      <c r="D600" s="7"/>
      <c r="H600" s="7"/>
      <c r="I600" s="7"/>
    </row>
    <row r="601">
      <c r="D601" s="7"/>
      <c r="H601" s="7"/>
      <c r="I601" s="7"/>
    </row>
    <row r="602">
      <c r="D602" s="7"/>
      <c r="H602" s="7"/>
      <c r="I602" s="7"/>
    </row>
    <row r="603">
      <c r="D603" s="7"/>
      <c r="H603" s="7"/>
      <c r="I603" s="7"/>
    </row>
    <row r="604">
      <c r="D604" s="7"/>
      <c r="H604" s="7"/>
      <c r="I604" s="7"/>
    </row>
    <row r="605">
      <c r="D605" s="7"/>
      <c r="H605" s="7"/>
      <c r="I605" s="7"/>
    </row>
    <row r="606">
      <c r="D606" s="7"/>
      <c r="H606" s="7"/>
      <c r="I606" s="7"/>
    </row>
    <row r="607">
      <c r="D607" s="7"/>
      <c r="H607" s="7"/>
      <c r="I607" s="7"/>
    </row>
    <row r="608">
      <c r="D608" s="7"/>
      <c r="H608" s="7"/>
      <c r="I608" s="7"/>
    </row>
    <row r="609">
      <c r="D609" s="7"/>
      <c r="H609" s="7"/>
      <c r="I609" s="7"/>
    </row>
    <row r="610">
      <c r="D610" s="7"/>
      <c r="H610" s="7"/>
      <c r="I610" s="7"/>
    </row>
    <row r="611">
      <c r="D611" s="7"/>
      <c r="H611" s="7"/>
      <c r="I611" s="7"/>
    </row>
    <row r="612">
      <c r="D612" s="7"/>
      <c r="H612" s="7"/>
      <c r="I612" s="7"/>
    </row>
    <row r="613">
      <c r="D613" s="7"/>
      <c r="H613" s="7"/>
      <c r="I613" s="7"/>
    </row>
    <row r="614">
      <c r="D614" s="7"/>
      <c r="H614" s="7"/>
      <c r="I614" s="7"/>
    </row>
    <row r="615">
      <c r="D615" s="7"/>
      <c r="H615" s="7"/>
      <c r="I615" s="7"/>
    </row>
    <row r="616">
      <c r="D616" s="7"/>
      <c r="H616" s="7"/>
      <c r="I616" s="7"/>
    </row>
    <row r="617">
      <c r="D617" s="7"/>
      <c r="H617" s="7"/>
      <c r="I617" s="7"/>
    </row>
    <row r="618">
      <c r="D618" s="7"/>
      <c r="H618" s="7"/>
      <c r="I618" s="7"/>
    </row>
    <row r="619">
      <c r="D619" s="7"/>
      <c r="H619" s="7"/>
      <c r="I619" s="7"/>
    </row>
    <row r="620">
      <c r="D620" s="7"/>
      <c r="H620" s="7"/>
      <c r="I620" s="7"/>
    </row>
    <row r="621">
      <c r="D621" s="7"/>
      <c r="H621" s="7"/>
      <c r="I621" s="7"/>
    </row>
    <row r="622">
      <c r="D622" s="7"/>
      <c r="H622" s="7"/>
      <c r="I622" s="7"/>
    </row>
    <row r="623">
      <c r="D623" s="7"/>
      <c r="H623" s="7"/>
      <c r="I623" s="7"/>
    </row>
    <row r="624">
      <c r="D624" s="7"/>
      <c r="H624" s="7"/>
      <c r="I624" s="7"/>
    </row>
    <row r="625">
      <c r="D625" s="7"/>
      <c r="H625" s="7"/>
      <c r="I625" s="7"/>
    </row>
    <row r="626">
      <c r="D626" s="7"/>
      <c r="H626" s="7"/>
      <c r="I626" s="7"/>
    </row>
    <row r="627">
      <c r="D627" s="7"/>
      <c r="H627" s="7"/>
      <c r="I627" s="7"/>
    </row>
    <row r="628">
      <c r="D628" s="7"/>
      <c r="H628" s="7"/>
      <c r="I628" s="7"/>
    </row>
    <row r="629">
      <c r="D629" s="7"/>
      <c r="H629" s="7"/>
      <c r="I629" s="7"/>
    </row>
    <row r="630">
      <c r="D630" s="7"/>
      <c r="H630" s="7"/>
      <c r="I630" s="7"/>
    </row>
    <row r="631">
      <c r="D631" s="7"/>
      <c r="H631" s="7"/>
      <c r="I631" s="7"/>
    </row>
    <row r="632">
      <c r="D632" s="7"/>
      <c r="H632" s="7"/>
      <c r="I632" s="7"/>
    </row>
    <row r="633">
      <c r="D633" s="7"/>
      <c r="H633" s="7"/>
      <c r="I633" s="7"/>
    </row>
    <row r="634">
      <c r="D634" s="7"/>
      <c r="H634" s="7"/>
      <c r="I634" s="7"/>
    </row>
    <row r="635">
      <c r="D635" s="7"/>
      <c r="H635" s="7"/>
      <c r="I635" s="7"/>
    </row>
    <row r="636">
      <c r="D636" s="7"/>
      <c r="H636" s="7"/>
      <c r="I636" s="7"/>
    </row>
    <row r="637">
      <c r="D637" s="7"/>
      <c r="H637" s="7"/>
      <c r="I637" s="7"/>
    </row>
    <row r="638">
      <c r="D638" s="7"/>
      <c r="H638" s="7"/>
      <c r="I638" s="7"/>
    </row>
    <row r="639">
      <c r="D639" s="7"/>
      <c r="H639" s="7"/>
      <c r="I639" s="7"/>
    </row>
    <row r="640">
      <c r="D640" s="7"/>
      <c r="H640" s="7"/>
      <c r="I640" s="7"/>
    </row>
    <row r="641">
      <c r="D641" s="7"/>
      <c r="H641" s="7"/>
      <c r="I641" s="7"/>
    </row>
    <row r="642">
      <c r="D642" s="7"/>
      <c r="H642" s="7"/>
      <c r="I642" s="7"/>
    </row>
    <row r="643">
      <c r="D643" s="7"/>
      <c r="H643" s="7"/>
      <c r="I643" s="7"/>
    </row>
    <row r="644">
      <c r="D644" s="7"/>
      <c r="H644" s="7"/>
      <c r="I644" s="7"/>
    </row>
    <row r="645">
      <c r="D645" s="7"/>
      <c r="H645" s="7"/>
      <c r="I645" s="7"/>
    </row>
    <row r="646">
      <c r="D646" s="7"/>
      <c r="H646" s="7"/>
      <c r="I646" s="7"/>
    </row>
    <row r="647">
      <c r="D647" s="7"/>
      <c r="H647" s="7"/>
      <c r="I647" s="7"/>
    </row>
    <row r="648">
      <c r="D648" s="7"/>
      <c r="H648" s="7"/>
      <c r="I648" s="7"/>
    </row>
    <row r="649">
      <c r="D649" s="7"/>
      <c r="H649" s="7"/>
      <c r="I649" s="7"/>
    </row>
    <row r="650">
      <c r="D650" s="7"/>
      <c r="H650" s="7"/>
      <c r="I650" s="7"/>
    </row>
    <row r="651">
      <c r="D651" s="7"/>
      <c r="H651" s="7"/>
      <c r="I651" s="7"/>
    </row>
    <row r="652">
      <c r="D652" s="7"/>
      <c r="H652" s="7"/>
      <c r="I652" s="7"/>
    </row>
    <row r="653">
      <c r="D653" s="7"/>
      <c r="H653" s="7"/>
      <c r="I653" s="7"/>
    </row>
    <row r="654">
      <c r="D654" s="7"/>
      <c r="H654" s="7"/>
      <c r="I654" s="7"/>
    </row>
    <row r="655">
      <c r="D655" s="7"/>
      <c r="H655" s="7"/>
      <c r="I655" s="7"/>
    </row>
    <row r="656">
      <c r="D656" s="7"/>
      <c r="H656" s="7"/>
      <c r="I656" s="7"/>
    </row>
    <row r="657">
      <c r="D657" s="7"/>
      <c r="H657" s="7"/>
      <c r="I657" s="7"/>
    </row>
    <row r="658">
      <c r="D658" s="7"/>
      <c r="H658" s="7"/>
      <c r="I658" s="7"/>
    </row>
    <row r="659">
      <c r="D659" s="7"/>
      <c r="H659" s="7"/>
      <c r="I659" s="7"/>
    </row>
    <row r="660">
      <c r="D660" s="7"/>
      <c r="H660" s="7"/>
      <c r="I660" s="7"/>
    </row>
    <row r="661">
      <c r="D661" s="7"/>
      <c r="H661" s="7"/>
      <c r="I661" s="7"/>
    </row>
    <row r="662">
      <c r="D662" s="7"/>
      <c r="H662" s="7"/>
      <c r="I662" s="7"/>
    </row>
    <row r="663">
      <c r="D663" s="7"/>
      <c r="H663" s="7"/>
      <c r="I663" s="7"/>
    </row>
    <row r="664">
      <c r="D664" s="7"/>
      <c r="H664" s="7"/>
      <c r="I664" s="7"/>
    </row>
    <row r="665">
      <c r="D665" s="7"/>
      <c r="H665" s="7"/>
      <c r="I665" s="7"/>
    </row>
    <row r="666">
      <c r="D666" s="7"/>
      <c r="H666" s="7"/>
      <c r="I666" s="7"/>
    </row>
    <row r="667">
      <c r="D667" s="7"/>
      <c r="H667" s="7"/>
      <c r="I667" s="7"/>
    </row>
    <row r="668">
      <c r="D668" s="7"/>
      <c r="H668" s="7"/>
      <c r="I668" s="7"/>
    </row>
    <row r="669">
      <c r="D669" s="7"/>
      <c r="H669" s="7"/>
      <c r="I669" s="7"/>
    </row>
    <row r="670">
      <c r="D670" s="7"/>
      <c r="H670" s="7"/>
      <c r="I670" s="7"/>
    </row>
    <row r="671">
      <c r="D671" s="7"/>
      <c r="H671" s="7"/>
      <c r="I671" s="7"/>
    </row>
    <row r="672">
      <c r="D672" s="7"/>
      <c r="H672" s="7"/>
      <c r="I672" s="7"/>
    </row>
    <row r="673">
      <c r="D673" s="7"/>
      <c r="H673" s="7"/>
      <c r="I673" s="7"/>
    </row>
    <row r="674">
      <c r="D674" s="7"/>
      <c r="H674" s="7"/>
      <c r="I674" s="7"/>
    </row>
    <row r="675">
      <c r="D675" s="7"/>
      <c r="H675" s="7"/>
      <c r="I675" s="7"/>
    </row>
    <row r="676">
      <c r="D676" s="7"/>
      <c r="H676" s="7"/>
      <c r="I676" s="7"/>
    </row>
    <row r="677">
      <c r="D677" s="7"/>
      <c r="H677" s="7"/>
      <c r="I677" s="7"/>
    </row>
    <row r="678">
      <c r="D678" s="7"/>
      <c r="H678" s="7"/>
      <c r="I678" s="7"/>
    </row>
    <row r="679">
      <c r="D679" s="7"/>
      <c r="H679" s="7"/>
      <c r="I679" s="7"/>
    </row>
    <row r="680">
      <c r="D680" s="7"/>
      <c r="H680" s="7"/>
      <c r="I680" s="7"/>
    </row>
    <row r="681">
      <c r="D681" s="7"/>
      <c r="H681" s="7"/>
      <c r="I681" s="7"/>
    </row>
    <row r="682">
      <c r="D682" s="7"/>
      <c r="H682" s="7"/>
      <c r="I682" s="7"/>
    </row>
    <row r="683">
      <c r="D683" s="7"/>
      <c r="H683" s="7"/>
      <c r="I683" s="7"/>
    </row>
    <row r="684">
      <c r="D684" s="7"/>
      <c r="H684" s="7"/>
      <c r="I684" s="7"/>
    </row>
    <row r="685">
      <c r="D685" s="7"/>
      <c r="H685" s="7"/>
      <c r="I685" s="7"/>
    </row>
    <row r="686">
      <c r="D686" s="7"/>
      <c r="H686" s="7"/>
      <c r="I686" s="7"/>
    </row>
    <row r="687">
      <c r="D687" s="7"/>
      <c r="H687" s="7"/>
      <c r="I687" s="7"/>
    </row>
    <row r="688">
      <c r="D688" s="7"/>
      <c r="H688" s="7"/>
      <c r="I688" s="7"/>
    </row>
    <row r="689">
      <c r="D689" s="7"/>
      <c r="H689" s="7"/>
      <c r="I689" s="7"/>
    </row>
    <row r="690">
      <c r="D690" s="7"/>
      <c r="H690" s="7"/>
      <c r="I690" s="7"/>
    </row>
    <row r="691">
      <c r="D691" s="7"/>
      <c r="H691" s="7"/>
      <c r="I691" s="7"/>
    </row>
    <row r="692">
      <c r="D692" s="7"/>
      <c r="H692" s="7"/>
      <c r="I692" s="7"/>
    </row>
    <row r="693">
      <c r="D693" s="7"/>
      <c r="H693" s="7"/>
      <c r="I693" s="7"/>
    </row>
    <row r="694">
      <c r="D694" s="7"/>
      <c r="H694" s="7"/>
      <c r="I694" s="7"/>
    </row>
    <row r="695">
      <c r="D695" s="7"/>
      <c r="H695" s="7"/>
      <c r="I695" s="7"/>
    </row>
    <row r="696">
      <c r="D696" s="7"/>
      <c r="H696" s="7"/>
      <c r="I696" s="7"/>
    </row>
    <row r="697">
      <c r="D697" s="7"/>
      <c r="H697" s="7"/>
      <c r="I697" s="7"/>
    </row>
    <row r="698">
      <c r="D698" s="7"/>
      <c r="H698" s="7"/>
      <c r="I698" s="7"/>
    </row>
    <row r="699">
      <c r="D699" s="7"/>
      <c r="H699" s="7"/>
      <c r="I699" s="7"/>
    </row>
    <row r="700">
      <c r="D700" s="7"/>
      <c r="H700" s="7"/>
      <c r="I700" s="7"/>
    </row>
    <row r="701">
      <c r="D701" s="7"/>
      <c r="H701" s="7"/>
      <c r="I701" s="7"/>
    </row>
    <row r="702">
      <c r="D702" s="7"/>
      <c r="H702" s="7"/>
      <c r="I702" s="7"/>
    </row>
    <row r="703">
      <c r="D703" s="7"/>
      <c r="H703" s="7"/>
      <c r="I703" s="7"/>
    </row>
    <row r="704">
      <c r="D704" s="7"/>
      <c r="H704" s="7"/>
      <c r="I704" s="7"/>
    </row>
    <row r="705">
      <c r="D705" s="7"/>
      <c r="H705" s="7"/>
      <c r="I705" s="7"/>
    </row>
    <row r="706">
      <c r="D706" s="7"/>
      <c r="H706" s="7"/>
      <c r="I706" s="7"/>
    </row>
    <row r="707">
      <c r="D707" s="7"/>
      <c r="H707" s="7"/>
      <c r="I707" s="7"/>
    </row>
    <row r="708">
      <c r="D708" s="7"/>
      <c r="H708" s="7"/>
      <c r="I708" s="7"/>
    </row>
    <row r="709">
      <c r="D709" s="7"/>
      <c r="H709" s="7"/>
      <c r="I709" s="7"/>
    </row>
    <row r="710">
      <c r="D710" s="7"/>
      <c r="H710" s="7"/>
      <c r="I710" s="7"/>
    </row>
    <row r="711">
      <c r="D711" s="7"/>
      <c r="H711" s="7"/>
      <c r="I711" s="7"/>
    </row>
    <row r="712">
      <c r="D712" s="7"/>
      <c r="H712" s="7"/>
      <c r="I712" s="7"/>
    </row>
    <row r="713">
      <c r="D713" s="7"/>
      <c r="H713" s="7"/>
      <c r="I713" s="7"/>
    </row>
    <row r="714">
      <c r="D714" s="7"/>
      <c r="H714" s="7"/>
      <c r="I714" s="7"/>
    </row>
    <row r="715">
      <c r="D715" s="7"/>
      <c r="H715" s="7"/>
      <c r="I715" s="7"/>
    </row>
    <row r="716">
      <c r="D716" s="7"/>
      <c r="H716" s="7"/>
      <c r="I716" s="7"/>
    </row>
    <row r="717">
      <c r="D717" s="7"/>
      <c r="H717" s="7"/>
      <c r="I717" s="7"/>
    </row>
    <row r="718">
      <c r="D718" s="7"/>
      <c r="H718" s="7"/>
      <c r="I718" s="7"/>
    </row>
    <row r="719">
      <c r="D719" s="7"/>
      <c r="H719" s="7"/>
      <c r="I719" s="7"/>
    </row>
    <row r="720">
      <c r="D720" s="7"/>
      <c r="H720" s="7"/>
      <c r="I720" s="7"/>
    </row>
    <row r="721">
      <c r="D721" s="7"/>
      <c r="H721" s="7"/>
      <c r="I721" s="7"/>
    </row>
    <row r="722">
      <c r="D722" s="7"/>
      <c r="H722" s="7"/>
      <c r="I722" s="7"/>
    </row>
    <row r="723">
      <c r="D723" s="7"/>
      <c r="H723" s="7"/>
      <c r="I723" s="7"/>
    </row>
    <row r="724">
      <c r="D724" s="7"/>
      <c r="H724" s="7"/>
      <c r="I724" s="7"/>
    </row>
    <row r="725">
      <c r="D725" s="7"/>
      <c r="H725" s="7"/>
      <c r="I725" s="7"/>
    </row>
    <row r="726">
      <c r="D726" s="7"/>
      <c r="H726" s="7"/>
      <c r="I726" s="7"/>
    </row>
    <row r="727">
      <c r="D727" s="7"/>
      <c r="H727" s="7"/>
      <c r="I727" s="7"/>
    </row>
    <row r="728">
      <c r="D728" s="7"/>
      <c r="H728" s="7"/>
      <c r="I728" s="7"/>
    </row>
    <row r="729">
      <c r="D729" s="7"/>
      <c r="H729" s="7"/>
      <c r="I729" s="7"/>
    </row>
    <row r="730">
      <c r="D730" s="7"/>
      <c r="H730" s="7"/>
      <c r="I730" s="7"/>
    </row>
    <row r="731">
      <c r="D731" s="7"/>
      <c r="H731" s="7"/>
      <c r="I731" s="7"/>
    </row>
    <row r="732">
      <c r="D732" s="7"/>
      <c r="H732" s="7"/>
      <c r="I732" s="7"/>
    </row>
    <row r="733">
      <c r="D733" s="7"/>
      <c r="H733" s="7"/>
      <c r="I733" s="7"/>
    </row>
    <row r="734">
      <c r="D734" s="7"/>
      <c r="H734" s="7"/>
      <c r="I734" s="7"/>
    </row>
    <row r="735">
      <c r="D735" s="7"/>
      <c r="H735" s="7"/>
      <c r="I735" s="7"/>
    </row>
    <row r="736">
      <c r="D736" s="7"/>
      <c r="H736" s="7"/>
      <c r="I736" s="7"/>
    </row>
    <row r="737">
      <c r="D737" s="7"/>
      <c r="H737" s="7"/>
      <c r="I737" s="7"/>
    </row>
    <row r="738">
      <c r="D738" s="7"/>
      <c r="H738" s="7"/>
      <c r="I738" s="7"/>
    </row>
    <row r="739">
      <c r="D739" s="7"/>
      <c r="H739" s="7"/>
      <c r="I739" s="7"/>
    </row>
    <row r="740">
      <c r="D740" s="7"/>
      <c r="H740" s="7"/>
      <c r="I740" s="7"/>
    </row>
    <row r="741">
      <c r="D741" s="7"/>
      <c r="H741" s="7"/>
      <c r="I741" s="7"/>
    </row>
    <row r="742">
      <c r="D742" s="7"/>
      <c r="H742" s="7"/>
      <c r="I742" s="7"/>
    </row>
    <row r="743">
      <c r="D743" s="7"/>
      <c r="H743" s="7"/>
      <c r="I743" s="7"/>
    </row>
    <row r="744">
      <c r="D744" s="7"/>
      <c r="H744" s="7"/>
      <c r="I744" s="7"/>
    </row>
    <row r="745">
      <c r="D745" s="7"/>
      <c r="H745" s="7"/>
      <c r="I745" s="7"/>
    </row>
    <row r="746">
      <c r="D746" s="7"/>
      <c r="H746" s="7"/>
      <c r="I746" s="7"/>
    </row>
    <row r="747">
      <c r="D747" s="7"/>
      <c r="H747" s="7"/>
      <c r="I747" s="7"/>
    </row>
    <row r="748">
      <c r="D748" s="7"/>
      <c r="H748" s="7"/>
      <c r="I748" s="7"/>
    </row>
    <row r="749">
      <c r="D749" s="7"/>
      <c r="H749" s="7"/>
      <c r="I749" s="7"/>
    </row>
    <row r="750">
      <c r="D750" s="7"/>
      <c r="H750" s="7"/>
      <c r="I750" s="7"/>
    </row>
    <row r="751">
      <c r="D751" s="7"/>
      <c r="H751" s="7"/>
      <c r="I751" s="7"/>
    </row>
    <row r="752">
      <c r="D752" s="7"/>
      <c r="H752" s="7"/>
      <c r="I752" s="7"/>
    </row>
    <row r="753">
      <c r="D753" s="7"/>
      <c r="H753" s="7"/>
      <c r="I753" s="7"/>
    </row>
    <row r="754">
      <c r="D754" s="7"/>
      <c r="H754" s="7"/>
      <c r="I754" s="7"/>
    </row>
    <row r="755">
      <c r="D755" s="7"/>
      <c r="H755" s="7"/>
      <c r="I755" s="7"/>
    </row>
    <row r="756">
      <c r="D756" s="7"/>
      <c r="H756" s="7"/>
      <c r="I756" s="7"/>
    </row>
    <row r="757">
      <c r="D757" s="7"/>
      <c r="H757" s="7"/>
      <c r="I757" s="7"/>
    </row>
    <row r="758">
      <c r="D758" s="7"/>
      <c r="H758" s="7"/>
      <c r="I758" s="7"/>
    </row>
    <row r="759">
      <c r="D759" s="7"/>
      <c r="H759" s="7"/>
      <c r="I759" s="7"/>
    </row>
    <row r="760">
      <c r="D760" s="7"/>
      <c r="H760" s="7"/>
      <c r="I760" s="7"/>
    </row>
    <row r="761">
      <c r="D761" s="7"/>
      <c r="H761" s="7"/>
      <c r="I761" s="7"/>
    </row>
    <row r="762">
      <c r="D762" s="7"/>
      <c r="H762" s="7"/>
      <c r="I762" s="7"/>
    </row>
    <row r="763">
      <c r="D763" s="7"/>
      <c r="H763" s="7"/>
      <c r="I763" s="7"/>
    </row>
    <row r="764">
      <c r="D764" s="7"/>
      <c r="H764" s="7"/>
      <c r="I764" s="7"/>
    </row>
    <row r="765">
      <c r="D765" s="7"/>
      <c r="H765" s="7"/>
      <c r="I765" s="7"/>
    </row>
    <row r="766">
      <c r="D766" s="7"/>
      <c r="H766" s="7"/>
      <c r="I766" s="7"/>
    </row>
    <row r="767">
      <c r="D767" s="7"/>
      <c r="H767" s="7"/>
      <c r="I767" s="7"/>
    </row>
    <row r="768">
      <c r="D768" s="7"/>
      <c r="H768" s="7"/>
      <c r="I768" s="7"/>
    </row>
    <row r="769">
      <c r="D769" s="7"/>
      <c r="H769" s="7"/>
      <c r="I769" s="7"/>
    </row>
    <row r="770">
      <c r="D770" s="7"/>
      <c r="H770" s="7"/>
      <c r="I770" s="7"/>
    </row>
    <row r="771">
      <c r="D771" s="7"/>
      <c r="H771" s="7"/>
      <c r="I771" s="7"/>
    </row>
    <row r="772">
      <c r="D772" s="7"/>
      <c r="H772" s="7"/>
      <c r="I772" s="7"/>
    </row>
    <row r="773">
      <c r="D773" s="7"/>
      <c r="H773" s="7"/>
      <c r="I773" s="7"/>
    </row>
    <row r="774">
      <c r="D774" s="7"/>
      <c r="H774" s="7"/>
      <c r="I774" s="7"/>
    </row>
    <row r="775">
      <c r="D775" s="7"/>
      <c r="H775" s="7"/>
      <c r="I775" s="7"/>
    </row>
    <row r="776">
      <c r="D776" s="7"/>
      <c r="H776" s="7"/>
      <c r="I776" s="7"/>
    </row>
    <row r="777">
      <c r="D777" s="7"/>
      <c r="H777" s="7"/>
      <c r="I777" s="7"/>
    </row>
    <row r="778">
      <c r="D778" s="7"/>
      <c r="H778" s="7"/>
      <c r="I778" s="7"/>
    </row>
    <row r="779">
      <c r="D779" s="7"/>
      <c r="H779" s="7"/>
      <c r="I779" s="7"/>
    </row>
    <row r="780">
      <c r="D780" s="7"/>
      <c r="H780" s="7"/>
      <c r="I780" s="7"/>
    </row>
    <row r="781">
      <c r="D781" s="7"/>
      <c r="H781" s="7"/>
      <c r="I781" s="7"/>
    </row>
    <row r="782">
      <c r="D782" s="7"/>
      <c r="H782" s="7"/>
      <c r="I782" s="7"/>
    </row>
    <row r="783">
      <c r="D783" s="7"/>
      <c r="H783" s="7"/>
      <c r="I783" s="7"/>
    </row>
    <row r="784">
      <c r="D784" s="7"/>
      <c r="H784" s="7"/>
      <c r="I784" s="7"/>
    </row>
    <row r="785">
      <c r="D785" s="7"/>
      <c r="H785" s="7"/>
      <c r="I785" s="7"/>
    </row>
    <row r="786">
      <c r="D786" s="7"/>
      <c r="H786" s="7"/>
      <c r="I786" s="7"/>
    </row>
    <row r="787">
      <c r="D787" s="7"/>
      <c r="H787" s="7"/>
      <c r="I787" s="7"/>
    </row>
    <row r="788">
      <c r="D788" s="7"/>
      <c r="H788" s="7"/>
      <c r="I788" s="7"/>
    </row>
    <row r="789">
      <c r="D789" s="7"/>
      <c r="H789" s="7"/>
      <c r="I789" s="7"/>
    </row>
    <row r="790">
      <c r="D790" s="7"/>
      <c r="H790" s="7"/>
      <c r="I790" s="7"/>
    </row>
    <row r="791">
      <c r="D791" s="7"/>
      <c r="H791" s="7"/>
      <c r="I791" s="7"/>
    </row>
    <row r="792">
      <c r="D792" s="7"/>
      <c r="H792" s="7"/>
      <c r="I792" s="7"/>
    </row>
    <row r="793">
      <c r="D793" s="7"/>
      <c r="H793" s="7"/>
      <c r="I793" s="7"/>
    </row>
    <row r="794">
      <c r="D794" s="7"/>
      <c r="H794" s="7"/>
      <c r="I794" s="7"/>
    </row>
    <row r="795">
      <c r="D795" s="7"/>
      <c r="H795" s="7"/>
      <c r="I795" s="7"/>
    </row>
    <row r="796">
      <c r="D796" s="7"/>
      <c r="H796" s="7"/>
      <c r="I796" s="7"/>
    </row>
    <row r="797">
      <c r="D797" s="7"/>
      <c r="H797" s="7"/>
      <c r="I797" s="7"/>
    </row>
    <row r="798">
      <c r="D798" s="7"/>
      <c r="H798" s="7"/>
      <c r="I798" s="7"/>
    </row>
    <row r="799">
      <c r="D799" s="7"/>
      <c r="H799" s="7"/>
      <c r="I799" s="7"/>
    </row>
    <row r="800">
      <c r="D800" s="7"/>
      <c r="H800" s="7"/>
      <c r="I800" s="7"/>
    </row>
    <row r="801">
      <c r="D801" s="7"/>
      <c r="H801" s="7"/>
      <c r="I801" s="7"/>
    </row>
    <row r="802">
      <c r="D802" s="7"/>
      <c r="H802" s="7"/>
      <c r="I802" s="7"/>
    </row>
    <row r="803">
      <c r="D803" s="7"/>
      <c r="H803" s="7"/>
      <c r="I803" s="7"/>
    </row>
    <row r="804">
      <c r="D804" s="7"/>
      <c r="H804" s="7"/>
      <c r="I804" s="7"/>
    </row>
    <row r="805">
      <c r="D805" s="7"/>
      <c r="H805" s="7"/>
      <c r="I805" s="7"/>
    </row>
    <row r="806">
      <c r="D806" s="7"/>
      <c r="H806" s="7"/>
      <c r="I806" s="7"/>
    </row>
    <row r="807">
      <c r="D807" s="7"/>
      <c r="H807" s="7"/>
      <c r="I807" s="7"/>
    </row>
    <row r="808">
      <c r="D808" s="7"/>
      <c r="H808" s="7"/>
      <c r="I808" s="7"/>
    </row>
    <row r="809">
      <c r="D809" s="7"/>
      <c r="H809" s="7"/>
      <c r="I809" s="7"/>
    </row>
    <row r="810">
      <c r="D810" s="7"/>
      <c r="H810" s="7"/>
      <c r="I810" s="7"/>
    </row>
    <row r="811">
      <c r="D811" s="7"/>
      <c r="H811" s="7"/>
      <c r="I811" s="7"/>
    </row>
    <row r="812">
      <c r="D812" s="7"/>
      <c r="H812" s="7"/>
      <c r="I812" s="7"/>
    </row>
    <row r="813">
      <c r="D813" s="7"/>
      <c r="H813" s="7"/>
      <c r="I813" s="7"/>
    </row>
    <row r="814">
      <c r="D814" s="7"/>
      <c r="H814" s="7"/>
      <c r="I814" s="7"/>
    </row>
    <row r="815">
      <c r="D815" s="7"/>
      <c r="H815" s="7"/>
      <c r="I815" s="7"/>
    </row>
    <row r="816">
      <c r="D816" s="7"/>
      <c r="H816" s="7"/>
      <c r="I816" s="7"/>
    </row>
    <row r="817">
      <c r="D817" s="7"/>
      <c r="H817" s="7"/>
      <c r="I817" s="7"/>
    </row>
    <row r="818">
      <c r="D818" s="7"/>
      <c r="H818" s="7"/>
      <c r="I818" s="7"/>
    </row>
    <row r="819">
      <c r="D819" s="7"/>
      <c r="H819" s="7"/>
      <c r="I819" s="7"/>
    </row>
    <row r="820">
      <c r="D820" s="7"/>
      <c r="H820" s="7"/>
      <c r="I820" s="7"/>
    </row>
    <row r="821">
      <c r="D821" s="7"/>
      <c r="H821" s="7"/>
      <c r="I821" s="7"/>
    </row>
    <row r="822">
      <c r="D822" s="7"/>
      <c r="H822" s="7"/>
      <c r="I822" s="7"/>
    </row>
    <row r="823">
      <c r="D823" s="7"/>
      <c r="H823" s="7"/>
      <c r="I823" s="7"/>
    </row>
    <row r="824">
      <c r="D824" s="7"/>
      <c r="H824" s="7"/>
      <c r="I824" s="7"/>
    </row>
    <row r="825">
      <c r="D825" s="7"/>
      <c r="H825" s="7"/>
      <c r="I825" s="7"/>
    </row>
    <row r="826">
      <c r="D826" s="7"/>
      <c r="H826" s="7"/>
      <c r="I826" s="7"/>
    </row>
    <row r="827">
      <c r="D827" s="7"/>
      <c r="H827" s="7"/>
      <c r="I827" s="7"/>
    </row>
    <row r="828">
      <c r="D828" s="7"/>
      <c r="H828" s="7"/>
      <c r="I828" s="7"/>
    </row>
    <row r="829">
      <c r="D829" s="7"/>
      <c r="H829" s="7"/>
      <c r="I829" s="7"/>
    </row>
    <row r="830">
      <c r="D830" s="7"/>
      <c r="H830" s="7"/>
      <c r="I830" s="7"/>
    </row>
    <row r="831">
      <c r="D831" s="7"/>
      <c r="H831" s="7"/>
      <c r="I831" s="7"/>
    </row>
    <row r="832">
      <c r="D832" s="7"/>
      <c r="H832" s="7"/>
      <c r="I832" s="7"/>
    </row>
    <row r="833">
      <c r="D833" s="7"/>
      <c r="H833" s="7"/>
      <c r="I833" s="7"/>
    </row>
    <row r="834">
      <c r="D834" s="7"/>
      <c r="H834" s="7"/>
      <c r="I834" s="7"/>
    </row>
    <row r="835">
      <c r="D835" s="7"/>
      <c r="H835" s="7"/>
      <c r="I835" s="7"/>
    </row>
    <row r="836">
      <c r="D836" s="7"/>
      <c r="H836" s="7"/>
      <c r="I836" s="7"/>
    </row>
    <row r="837">
      <c r="D837" s="7"/>
      <c r="H837" s="7"/>
      <c r="I837" s="7"/>
    </row>
    <row r="838">
      <c r="D838" s="7"/>
      <c r="H838" s="7"/>
      <c r="I838" s="7"/>
    </row>
    <row r="839">
      <c r="D839" s="7"/>
      <c r="H839" s="7"/>
      <c r="I839" s="7"/>
    </row>
    <row r="840">
      <c r="D840" s="7"/>
      <c r="H840" s="7"/>
      <c r="I840" s="7"/>
    </row>
    <row r="841">
      <c r="D841" s="7"/>
      <c r="H841" s="7"/>
      <c r="I841" s="7"/>
    </row>
    <row r="842">
      <c r="D842" s="7"/>
      <c r="H842" s="7"/>
      <c r="I842" s="7"/>
    </row>
    <row r="843">
      <c r="D843" s="7"/>
      <c r="H843" s="7"/>
      <c r="I843" s="7"/>
    </row>
    <row r="844">
      <c r="D844" s="7"/>
      <c r="H844" s="7"/>
      <c r="I844" s="7"/>
    </row>
    <row r="845">
      <c r="D845" s="7"/>
      <c r="H845" s="7"/>
      <c r="I845" s="7"/>
    </row>
    <row r="846">
      <c r="D846" s="7"/>
      <c r="H846" s="7"/>
      <c r="I846" s="7"/>
    </row>
    <row r="847">
      <c r="D847" s="7"/>
      <c r="H847" s="7"/>
      <c r="I847" s="7"/>
    </row>
    <row r="848">
      <c r="D848" s="7"/>
      <c r="H848" s="7"/>
      <c r="I848" s="7"/>
    </row>
    <row r="849">
      <c r="D849" s="7"/>
      <c r="H849" s="7"/>
      <c r="I849" s="7"/>
    </row>
    <row r="850">
      <c r="D850" s="7"/>
      <c r="H850" s="7"/>
      <c r="I850" s="7"/>
    </row>
    <row r="851">
      <c r="D851" s="7"/>
      <c r="H851" s="7"/>
      <c r="I851" s="7"/>
    </row>
    <row r="852">
      <c r="D852" s="7"/>
      <c r="H852" s="7"/>
      <c r="I852" s="7"/>
    </row>
    <row r="853">
      <c r="D853" s="7"/>
      <c r="H853" s="7"/>
      <c r="I853" s="7"/>
    </row>
    <row r="854">
      <c r="D854" s="7"/>
      <c r="H854" s="7"/>
      <c r="I854" s="7"/>
    </row>
    <row r="855">
      <c r="D855" s="7"/>
      <c r="H855" s="7"/>
      <c r="I855" s="7"/>
    </row>
    <row r="856">
      <c r="D856" s="7"/>
      <c r="H856" s="7"/>
      <c r="I856" s="7"/>
    </row>
    <row r="857">
      <c r="D857" s="7"/>
      <c r="H857" s="7"/>
      <c r="I857" s="7"/>
    </row>
    <row r="858">
      <c r="D858" s="7"/>
      <c r="H858" s="7"/>
      <c r="I858" s="7"/>
    </row>
    <row r="859">
      <c r="D859" s="7"/>
      <c r="H859" s="7"/>
      <c r="I859" s="7"/>
    </row>
    <row r="860">
      <c r="D860" s="7"/>
      <c r="H860" s="7"/>
      <c r="I860" s="7"/>
    </row>
    <row r="861">
      <c r="D861" s="7"/>
      <c r="H861" s="7"/>
      <c r="I861" s="7"/>
    </row>
    <row r="862">
      <c r="D862" s="7"/>
      <c r="H862" s="7"/>
      <c r="I862" s="7"/>
    </row>
    <row r="863">
      <c r="D863" s="7"/>
      <c r="H863" s="7"/>
      <c r="I863" s="7"/>
    </row>
    <row r="864">
      <c r="D864" s="7"/>
      <c r="H864" s="7"/>
      <c r="I864" s="7"/>
    </row>
    <row r="865">
      <c r="D865" s="7"/>
      <c r="H865" s="7"/>
      <c r="I865" s="7"/>
    </row>
    <row r="866">
      <c r="D866" s="7"/>
      <c r="H866" s="7"/>
      <c r="I866" s="7"/>
    </row>
    <row r="867">
      <c r="D867" s="7"/>
      <c r="H867" s="7"/>
      <c r="I867" s="7"/>
    </row>
    <row r="868">
      <c r="D868" s="7"/>
      <c r="H868" s="7"/>
      <c r="I868" s="7"/>
    </row>
    <row r="869">
      <c r="D869" s="7"/>
      <c r="H869" s="7"/>
      <c r="I869" s="7"/>
    </row>
    <row r="870">
      <c r="D870" s="7"/>
      <c r="H870" s="7"/>
      <c r="I870" s="7"/>
    </row>
    <row r="871">
      <c r="D871" s="7"/>
      <c r="H871" s="7"/>
      <c r="I871" s="7"/>
    </row>
    <row r="872">
      <c r="D872" s="7"/>
      <c r="H872" s="7"/>
      <c r="I872" s="7"/>
    </row>
    <row r="873">
      <c r="D873" s="7"/>
      <c r="H873" s="7"/>
      <c r="I873" s="7"/>
    </row>
    <row r="874">
      <c r="D874" s="7"/>
      <c r="H874" s="7"/>
      <c r="I874" s="7"/>
    </row>
    <row r="875">
      <c r="D875" s="7"/>
      <c r="H875" s="7"/>
      <c r="I875" s="7"/>
    </row>
    <row r="876">
      <c r="D876" s="7"/>
      <c r="H876" s="7"/>
      <c r="I876" s="7"/>
    </row>
    <row r="877">
      <c r="D877" s="7"/>
      <c r="H877" s="7"/>
      <c r="I877" s="7"/>
    </row>
    <row r="878">
      <c r="D878" s="7"/>
      <c r="H878" s="7"/>
      <c r="I878" s="7"/>
    </row>
    <row r="879">
      <c r="D879" s="7"/>
      <c r="H879" s="7"/>
      <c r="I879" s="7"/>
    </row>
    <row r="880">
      <c r="D880" s="7"/>
      <c r="H880" s="7"/>
      <c r="I880" s="7"/>
    </row>
    <row r="881">
      <c r="D881" s="7"/>
      <c r="H881" s="7"/>
      <c r="I881" s="7"/>
    </row>
    <row r="882">
      <c r="D882" s="7"/>
      <c r="H882" s="7"/>
      <c r="I882" s="7"/>
    </row>
    <row r="883">
      <c r="D883" s="7"/>
      <c r="H883" s="7"/>
      <c r="I883" s="7"/>
    </row>
    <row r="884">
      <c r="D884" s="7"/>
      <c r="H884" s="7"/>
      <c r="I884" s="7"/>
    </row>
    <row r="885">
      <c r="D885" s="7"/>
      <c r="H885" s="7"/>
      <c r="I885" s="7"/>
    </row>
    <row r="886">
      <c r="D886" s="7"/>
      <c r="H886" s="7"/>
      <c r="I886" s="7"/>
    </row>
    <row r="887">
      <c r="D887" s="7"/>
      <c r="H887" s="7"/>
      <c r="I887" s="7"/>
    </row>
    <row r="888">
      <c r="D888" s="7"/>
      <c r="H888" s="7"/>
      <c r="I888" s="7"/>
    </row>
    <row r="889">
      <c r="D889" s="7"/>
      <c r="H889" s="7"/>
      <c r="I889" s="7"/>
    </row>
    <row r="890">
      <c r="D890" s="7"/>
      <c r="H890" s="7"/>
      <c r="I890" s="7"/>
    </row>
    <row r="891">
      <c r="D891" s="7"/>
      <c r="H891" s="7"/>
      <c r="I891" s="7"/>
    </row>
    <row r="892">
      <c r="D892" s="7"/>
      <c r="H892" s="7"/>
      <c r="I892" s="7"/>
    </row>
    <row r="893">
      <c r="D893" s="7"/>
      <c r="H893" s="7"/>
      <c r="I893" s="7"/>
    </row>
    <row r="894">
      <c r="D894" s="7"/>
      <c r="H894" s="7"/>
      <c r="I894" s="7"/>
    </row>
    <row r="895">
      <c r="D895" s="7"/>
      <c r="H895" s="7"/>
      <c r="I895" s="7"/>
    </row>
    <row r="896">
      <c r="D896" s="7"/>
      <c r="H896" s="7"/>
      <c r="I896" s="7"/>
    </row>
    <row r="897">
      <c r="D897" s="7"/>
      <c r="H897" s="7"/>
      <c r="I897" s="7"/>
    </row>
    <row r="898">
      <c r="D898" s="7"/>
      <c r="H898" s="7"/>
      <c r="I898" s="7"/>
    </row>
    <row r="899">
      <c r="D899" s="7"/>
      <c r="H899" s="7"/>
      <c r="I899" s="7"/>
    </row>
    <row r="900">
      <c r="D900" s="7"/>
      <c r="H900" s="7"/>
      <c r="I900" s="7"/>
    </row>
    <row r="901">
      <c r="D901" s="7"/>
      <c r="H901" s="7"/>
      <c r="I901" s="7"/>
    </row>
    <row r="902">
      <c r="D902" s="7"/>
      <c r="H902" s="7"/>
      <c r="I902" s="7"/>
    </row>
    <row r="903">
      <c r="D903" s="7"/>
      <c r="H903" s="7"/>
      <c r="I903" s="7"/>
    </row>
    <row r="904">
      <c r="D904" s="7"/>
      <c r="H904" s="7"/>
      <c r="I904" s="7"/>
    </row>
    <row r="905">
      <c r="D905" s="7"/>
      <c r="H905" s="7"/>
      <c r="I905" s="7"/>
    </row>
    <row r="906">
      <c r="D906" s="7"/>
      <c r="H906" s="7"/>
      <c r="I906" s="7"/>
    </row>
    <row r="907">
      <c r="D907" s="7"/>
      <c r="H907" s="7"/>
      <c r="I907" s="7"/>
    </row>
    <row r="908">
      <c r="D908" s="7"/>
      <c r="H908" s="7"/>
      <c r="I908" s="7"/>
    </row>
    <row r="909">
      <c r="D909" s="7"/>
      <c r="H909" s="7"/>
      <c r="I909" s="7"/>
    </row>
    <row r="910">
      <c r="D910" s="7"/>
      <c r="H910" s="7"/>
      <c r="I910" s="7"/>
    </row>
    <row r="911">
      <c r="D911" s="7"/>
      <c r="H911" s="7"/>
      <c r="I911" s="7"/>
    </row>
    <row r="912">
      <c r="D912" s="7"/>
      <c r="H912" s="7"/>
      <c r="I912" s="7"/>
    </row>
    <row r="913">
      <c r="D913" s="7"/>
      <c r="H913" s="7"/>
      <c r="I913" s="7"/>
    </row>
    <row r="914">
      <c r="D914" s="7"/>
      <c r="H914" s="7"/>
      <c r="I914" s="7"/>
    </row>
    <row r="915">
      <c r="D915" s="7"/>
      <c r="H915" s="7"/>
      <c r="I915" s="7"/>
    </row>
    <row r="916">
      <c r="D916" s="7"/>
      <c r="H916" s="7"/>
      <c r="I916" s="7"/>
    </row>
    <row r="917">
      <c r="D917" s="7"/>
      <c r="H917" s="7"/>
      <c r="I917" s="7"/>
    </row>
    <row r="918">
      <c r="D918" s="7"/>
      <c r="H918" s="7"/>
      <c r="I918" s="7"/>
    </row>
    <row r="919">
      <c r="D919" s="7"/>
      <c r="H919" s="7"/>
      <c r="I919" s="7"/>
    </row>
    <row r="920">
      <c r="D920" s="7"/>
      <c r="H920" s="7"/>
      <c r="I920" s="7"/>
    </row>
    <row r="921">
      <c r="D921" s="7"/>
      <c r="H921" s="7"/>
      <c r="I921" s="7"/>
    </row>
    <row r="922">
      <c r="D922" s="7"/>
      <c r="H922" s="7"/>
      <c r="I922" s="7"/>
    </row>
    <row r="923">
      <c r="D923" s="7"/>
      <c r="H923" s="7"/>
      <c r="I923" s="7"/>
    </row>
    <row r="924">
      <c r="D924" s="7"/>
      <c r="H924" s="7"/>
      <c r="I924" s="7"/>
    </row>
    <row r="925">
      <c r="D925" s="7"/>
      <c r="H925" s="7"/>
      <c r="I925" s="7"/>
    </row>
    <row r="926">
      <c r="D926" s="7"/>
      <c r="H926" s="7"/>
      <c r="I926" s="7"/>
    </row>
    <row r="927">
      <c r="D927" s="7"/>
      <c r="H927" s="7"/>
      <c r="I927" s="7"/>
    </row>
    <row r="928">
      <c r="D928" s="7"/>
      <c r="H928" s="7"/>
      <c r="I928" s="7"/>
    </row>
    <row r="929">
      <c r="D929" s="7"/>
      <c r="H929" s="7"/>
      <c r="I929" s="7"/>
    </row>
    <row r="930">
      <c r="D930" s="7"/>
      <c r="H930" s="7"/>
      <c r="I930" s="7"/>
    </row>
    <row r="931">
      <c r="D931" s="7"/>
      <c r="H931" s="7"/>
      <c r="I931" s="7"/>
    </row>
    <row r="932">
      <c r="D932" s="7"/>
      <c r="H932" s="7"/>
      <c r="I932" s="7"/>
    </row>
    <row r="933">
      <c r="D933" s="7"/>
      <c r="H933" s="7"/>
      <c r="I933" s="7"/>
    </row>
    <row r="934">
      <c r="D934" s="7"/>
      <c r="H934" s="7"/>
      <c r="I934" s="7"/>
    </row>
    <row r="935">
      <c r="D935" s="7"/>
      <c r="H935" s="7"/>
      <c r="I935" s="7"/>
    </row>
    <row r="936">
      <c r="D936" s="7"/>
      <c r="H936" s="7"/>
      <c r="I936" s="7"/>
    </row>
    <row r="937">
      <c r="D937" s="7"/>
      <c r="H937" s="7"/>
      <c r="I937" s="7"/>
    </row>
    <row r="938">
      <c r="D938" s="7"/>
      <c r="H938" s="7"/>
      <c r="I938" s="7"/>
    </row>
    <row r="939">
      <c r="D939" s="7"/>
      <c r="H939" s="7"/>
      <c r="I939" s="7"/>
    </row>
    <row r="940">
      <c r="D940" s="7"/>
      <c r="H940" s="7"/>
      <c r="I940" s="7"/>
    </row>
    <row r="941">
      <c r="D941" s="7"/>
      <c r="H941" s="7"/>
      <c r="I941" s="7"/>
    </row>
    <row r="942">
      <c r="D942" s="7"/>
      <c r="H942" s="7"/>
      <c r="I942" s="7"/>
    </row>
    <row r="943">
      <c r="D943" s="7"/>
      <c r="H943" s="7"/>
      <c r="I943" s="7"/>
    </row>
    <row r="944">
      <c r="D944" s="7"/>
      <c r="H944" s="7"/>
      <c r="I944" s="7"/>
    </row>
    <row r="945">
      <c r="D945" s="7"/>
      <c r="H945" s="7"/>
      <c r="I945" s="7"/>
    </row>
    <row r="946">
      <c r="D946" s="7"/>
      <c r="H946" s="7"/>
      <c r="I946" s="7"/>
    </row>
    <row r="947">
      <c r="D947" s="7"/>
      <c r="H947" s="7"/>
      <c r="I947" s="7"/>
    </row>
    <row r="948">
      <c r="D948" s="7"/>
      <c r="H948" s="7"/>
      <c r="I948" s="7"/>
    </row>
    <row r="949">
      <c r="D949" s="7"/>
      <c r="H949" s="7"/>
      <c r="I949" s="7"/>
    </row>
    <row r="950">
      <c r="D950" s="7"/>
      <c r="H950" s="7"/>
      <c r="I950" s="7"/>
    </row>
    <row r="951">
      <c r="D951" s="7"/>
      <c r="H951" s="7"/>
      <c r="I951" s="7"/>
    </row>
    <row r="952">
      <c r="D952" s="7"/>
      <c r="H952" s="7"/>
      <c r="I952" s="7"/>
    </row>
    <row r="953">
      <c r="D953" s="7"/>
      <c r="H953" s="7"/>
      <c r="I953" s="7"/>
    </row>
    <row r="954">
      <c r="D954" s="7"/>
      <c r="H954" s="7"/>
      <c r="I954" s="7"/>
    </row>
    <row r="955">
      <c r="D955" s="7"/>
      <c r="H955" s="7"/>
      <c r="I955" s="7"/>
    </row>
    <row r="956">
      <c r="D956" s="7"/>
      <c r="H956" s="7"/>
      <c r="I956" s="7"/>
    </row>
    <row r="957">
      <c r="D957" s="7"/>
      <c r="H957" s="7"/>
      <c r="I957" s="7"/>
    </row>
    <row r="958">
      <c r="D958" s="7"/>
      <c r="H958" s="7"/>
      <c r="I958" s="7"/>
    </row>
    <row r="959">
      <c r="D959" s="7"/>
      <c r="H959" s="7"/>
      <c r="I959" s="7"/>
    </row>
    <row r="960">
      <c r="D960" s="7"/>
      <c r="H960" s="7"/>
      <c r="I960" s="7"/>
    </row>
    <row r="961">
      <c r="D961" s="7"/>
      <c r="H961" s="7"/>
      <c r="I961" s="7"/>
    </row>
    <row r="962">
      <c r="D962" s="7"/>
      <c r="H962" s="7"/>
      <c r="I962" s="7"/>
    </row>
    <row r="963">
      <c r="D963" s="7"/>
      <c r="H963" s="7"/>
      <c r="I963" s="7"/>
    </row>
    <row r="964">
      <c r="D964" s="7"/>
      <c r="H964" s="7"/>
      <c r="I964" s="7"/>
    </row>
    <row r="965">
      <c r="D965" s="7"/>
      <c r="H965" s="7"/>
      <c r="I965" s="7"/>
    </row>
    <row r="966">
      <c r="D966" s="7"/>
      <c r="H966" s="7"/>
      <c r="I966" s="7"/>
    </row>
    <row r="967">
      <c r="D967" s="7"/>
      <c r="H967" s="7"/>
      <c r="I967" s="7"/>
    </row>
    <row r="968">
      <c r="D968" s="7"/>
      <c r="H968" s="7"/>
      <c r="I968" s="7"/>
    </row>
    <row r="969">
      <c r="D969" s="7"/>
      <c r="H969" s="7"/>
      <c r="I969" s="7"/>
    </row>
    <row r="970">
      <c r="D970" s="7"/>
      <c r="H970" s="7"/>
      <c r="I970" s="7"/>
    </row>
    <row r="971">
      <c r="D971" s="7"/>
      <c r="H971" s="7"/>
      <c r="I971" s="7"/>
    </row>
    <row r="972">
      <c r="D972" s="7"/>
      <c r="H972" s="7"/>
      <c r="I972" s="7"/>
    </row>
    <row r="973">
      <c r="D973" s="7"/>
      <c r="H973" s="7"/>
      <c r="I973" s="7"/>
    </row>
    <row r="974">
      <c r="D974" s="7"/>
      <c r="H974" s="7"/>
      <c r="I974" s="7"/>
    </row>
    <row r="975">
      <c r="D975" s="7"/>
      <c r="H975" s="7"/>
      <c r="I975" s="7"/>
    </row>
    <row r="976">
      <c r="D976" s="7"/>
      <c r="H976" s="7"/>
      <c r="I976" s="7"/>
    </row>
    <row r="977">
      <c r="D977" s="7"/>
      <c r="H977" s="7"/>
      <c r="I977" s="7"/>
    </row>
    <row r="978">
      <c r="D978" s="7"/>
      <c r="H978" s="7"/>
      <c r="I978" s="7"/>
    </row>
    <row r="979">
      <c r="D979" s="7"/>
      <c r="H979" s="7"/>
      <c r="I979" s="7"/>
    </row>
    <row r="980">
      <c r="D980" s="7"/>
      <c r="H980" s="7"/>
      <c r="I980" s="7"/>
    </row>
    <row r="981">
      <c r="D981" s="7"/>
      <c r="H981" s="7"/>
      <c r="I981" s="7"/>
    </row>
    <row r="982">
      <c r="D982" s="7"/>
      <c r="H982" s="7"/>
      <c r="I982" s="7"/>
    </row>
    <row r="983">
      <c r="D983" s="7"/>
      <c r="H983" s="7"/>
      <c r="I983" s="7"/>
    </row>
    <row r="984">
      <c r="D984" s="7"/>
      <c r="H984" s="7"/>
      <c r="I984" s="7"/>
    </row>
    <row r="985">
      <c r="D985" s="7"/>
      <c r="H985" s="7"/>
      <c r="I985" s="7"/>
    </row>
    <row r="986">
      <c r="D986" s="7"/>
      <c r="H986" s="7"/>
      <c r="I986" s="7"/>
    </row>
    <row r="987">
      <c r="D987" s="7"/>
      <c r="H987" s="7"/>
      <c r="I987" s="7"/>
    </row>
    <row r="988">
      <c r="D988" s="7"/>
      <c r="H988" s="7"/>
      <c r="I988" s="7"/>
    </row>
    <row r="989">
      <c r="D989" s="7"/>
      <c r="H989" s="7"/>
      <c r="I989" s="7"/>
    </row>
    <row r="990">
      <c r="D990" s="7"/>
      <c r="H990" s="7"/>
      <c r="I990" s="7"/>
    </row>
    <row r="991">
      <c r="D991" s="7"/>
      <c r="H991" s="7"/>
      <c r="I991" s="7"/>
    </row>
    <row r="992">
      <c r="D992" s="7"/>
      <c r="H992" s="7"/>
      <c r="I992" s="7"/>
    </row>
    <row r="993">
      <c r="D993" s="7"/>
      <c r="H993" s="7"/>
      <c r="I993" s="7"/>
    </row>
    <row r="994">
      <c r="D994" s="7"/>
      <c r="H994" s="7"/>
      <c r="I994" s="7"/>
    </row>
    <row r="995">
      <c r="D995" s="7"/>
      <c r="H995" s="7"/>
      <c r="I995" s="7"/>
    </row>
    <row r="996">
      <c r="D996" s="7"/>
      <c r="H996" s="7"/>
      <c r="I996" s="7"/>
    </row>
    <row r="997">
      <c r="D997" s="7"/>
      <c r="H997" s="7"/>
      <c r="I997" s="7"/>
    </row>
    <row r="998">
      <c r="D998" s="7"/>
      <c r="H998" s="7"/>
      <c r="I998" s="7"/>
    </row>
    <row r="999">
      <c r="D999" s="7"/>
      <c r="H999" s="7"/>
      <c r="I999" s="7"/>
    </row>
    <row r="1000">
      <c r="D1000" s="7"/>
      <c r="H1000" s="7"/>
      <c r="I1000" s="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9" t="s">
        <v>1</v>
      </c>
      <c r="G1" s="9" t="s">
        <v>3</v>
      </c>
      <c r="K1" s="9" t="s">
        <v>71</v>
      </c>
    </row>
    <row r="2">
      <c r="C2" s="9" t="s">
        <v>6</v>
      </c>
      <c r="D2" s="9" t="s">
        <v>78</v>
      </c>
      <c r="E2" s="9" t="s">
        <v>76</v>
      </c>
      <c r="F2" s="9" t="s">
        <v>7</v>
      </c>
      <c r="G2" s="9" t="s">
        <v>6</v>
      </c>
      <c r="H2" s="9" t="s">
        <v>78</v>
      </c>
      <c r="I2" s="9" t="s">
        <v>76</v>
      </c>
      <c r="J2" s="9" t="s">
        <v>7</v>
      </c>
      <c r="K2" s="9" t="s">
        <v>78</v>
      </c>
      <c r="L2" s="9" t="s">
        <v>79</v>
      </c>
      <c r="M2" s="9" t="s">
        <v>76</v>
      </c>
      <c r="N2" s="9" t="s">
        <v>7</v>
      </c>
    </row>
    <row r="3">
      <c r="A3" s="9" t="s">
        <v>80</v>
      </c>
      <c r="B3" s="9">
        <v>40.0</v>
      </c>
      <c r="C3" s="7">
        <v>0.0</v>
      </c>
      <c r="D3" s="7">
        <v>0.0</v>
      </c>
      <c r="E3" s="13">
        <v>30.0</v>
      </c>
      <c r="F3" s="13">
        <v>14.574333333333334</v>
      </c>
      <c r="G3" s="7">
        <v>0.0</v>
      </c>
      <c r="H3" s="7">
        <v>0.0</v>
      </c>
      <c r="I3" s="13">
        <v>30.0</v>
      </c>
      <c r="J3" s="13">
        <v>0.3806666666666666</v>
      </c>
      <c r="K3" s="7">
        <v>0.0</v>
      </c>
      <c r="L3" s="7">
        <v>0.0</v>
      </c>
      <c r="M3" s="13">
        <v>30.0</v>
      </c>
      <c r="N3" s="13">
        <v>1.4700000000000002</v>
      </c>
    </row>
    <row r="4">
      <c r="B4" s="9">
        <v>60.0</v>
      </c>
      <c r="C4" s="7">
        <v>0.002904040404040404</v>
      </c>
      <c r="D4" s="7">
        <v>0.0</v>
      </c>
      <c r="E4" s="13">
        <v>30.0</v>
      </c>
      <c r="F4" s="13">
        <v>270.606</v>
      </c>
      <c r="G4" s="7">
        <v>0.0</v>
      </c>
      <c r="H4" s="7">
        <v>0.0</v>
      </c>
      <c r="I4" s="13">
        <v>30.0</v>
      </c>
      <c r="J4" s="13">
        <v>1.5636666666666665</v>
      </c>
      <c r="K4" s="7">
        <v>0.0</v>
      </c>
      <c r="L4" s="7">
        <v>0.0</v>
      </c>
      <c r="M4" s="13">
        <v>30.0</v>
      </c>
      <c r="N4" s="13">
        <v>4.442333333333334</v>
      </c>
    </row>
    <row r="5">
      <c r="B5" s="9">
        <v>80.0</v>
      </c>
      <c r="C5" s="7">
        <v>0.0015873015873015873</v>
      </c>
      <c r="D5" s="7">
        <v>0.0</v>
      </c>
      <c r="E5" s="13">
        <v>30.0</v>
      </c>
      <c r="F5" s="13">
        <v>230.82566666666668</v>
      </c>
      <c r="G5" s="7">
        <v>0.0</v>
      </c>
      <c r="H5" s="7">
        <v>0.0</v>
      </c>
      <c r="I5" s="13">
        <v>30.0</v>
      </c>
      <c r="J5" s="13">
        <v>3.8596666666666666</v>
      </c>
      <c r="K5" s="7">
        <v>0.0</v>
      </c>
      <c r="L5" s="7">
        <v>0.002232429710019507</v>
      </c>
      <c r="M5" s="13">
        <v>30.0</v>
      </c>
      <c r="N5" s="13">
        <v>7.783666666666666</v>
      </c>
    </row>
    <row r="6">
      <c r="A6" s="9" t="s">
        <v>81</v>
      </c>
      <c r="B6" s="9">
        <v>40.0</v>
      </c>
      <c r="C6" s="7">
        <v>0.0</v>
      </c>
      <c r="D6" s="7">
        <v>0.0</v>
      </c>
      <c r="E6" s="13">
        <v>30.0</v>
      </c>
      <c r="F6" s="13">
        <v>3.0769999999999995</v>
      </c>
      <c r="G6" s="7">
        <v>0.0</v>
      </c>
      <c r="H6" s="7">
        <v>0.0</v>
      </c>
      <c r="I6" s="13">
        <v>30.0</v>
      </c>
      <c r="J6" s="13">
        <v>0.43200000000000005</v>
      </c>
      <c r="K6" s="7">
        <v>0.0</v>
      </c>
      <c r="L6" s="7">
        <v>0.0</v>
      </c>
      <c r="M6" s="13">
        <v>30.0</v>
      </c>
      <c r="N6" s="13">
        <v>2.8603333333333336</v>
      </c>
    </row>
    <row r="7">
      <c r="B7" s="9">
        <v>60.0</v>
      </c>
      <c r="C7" s="7">
        <v>0.0012456324248777079</v>
      </c>
      <c r="D7" s="7">
        <v>0.0</v>
      </c>
      <c r="E7" s="13">
        <v>30.0</v>
      </c>
      <c r="F7" s="13">
        <v>260.12600000000003</v>
      </c>
      <c r="G7" s="7">
        <v>0.0</v>
      </c>
      <c r="H7" s="7">
        <v>0.0</v>
      </c>
      <c r="I7" s="13">
        <v>30.0</v>
      </c>
      <c r="J7" s="13">
        <v>2.2143333333333337</v>
      </c>
      <c r="K7" s="7">
        <v>0.0</v>
      </c>
      <c r="L7" s="7">
        <v>5.5648302726768945E-5</v>
      </c>
      <c r="M7" s="13">
        <v>30.0</v>
      </c>
      <c r="N7" s="13">
        <v>8.710666666666667</v>
      </c>
    </row>
    <row r="8">
      <c r="B8" s="9">
        <v>80.0</v>
      </c>
      <c r="C8" s="7">
        <v>0.0022597864768683276</v>
      </c>
      <c r="D8" s="7">
        <v>0.0</v>
      </c>
      <c r="E8" s="13">
        <v>30.0</v>
      </c>
      <c r="F8" s="13">
        <v>328.0706666666667</v>
      </c>
      <c r="G8" s="7">
        <v>0.0</v>
      </c>
      <c r="H8" s="7">
        <v>0.0</v>
      </c>
      <c r="I8" s="13">
        <v>30.0</v>
      </c>
      <c r="J8" s="13">
        <v>2.7090000000000005</v>
      </c>
      <c r="K8" s="7">
        <v>0.0</v>
      </c>
      <c r="L8" s="7">
        <v>6.520193945322515E-4</v>
      </c>
      <c r="M8" s="13">
        <v>30.0</v>
      </c>
      <c r="N8" s="13">
        <v>18.652</v>
      </c>
    </row>
    <row r="9">
      <c r="A9" s="9" t="s">
        <v>82</v>
      </c>
      <c r="B9" s="9">
        <v>40.0</v>
      </c>
      <c r="C9" s="7">
        <v>0.0</v>
      </c>
      <c r="D9" s="7">
        <v>0.0</v>
      </c>
      <c r="E9" s="13">
        <v>30.0</v>
      </c>
      <c r="F9" s="13">
        <v>12.921</v>
      </c>
      <c r="G9" s="7">
        <v>0.0</v>
      </c>
      <c r="H9" s="7">
        <v>0.0</v>
      </c>
      <c r="I9" s="13">
        <v>30.0</v>
      </c>
      <c r="J9" s="13">
        <v>0.3443333333333333</v>
      </c>
      <c r="K9" s="7">
        <v>0.0</v>
      </c>
      <c r="L9" s="7">
        <v>0.0</v>
      </c>
      <c r="M9" s="13">
        <v>30.0</v>
      </c>
      <c r="N9" s="13">
        <v>1.022</v>
      </c>
    </row>
    <row r="10">
      <c r="B10" s="9">
        <v>60.0</v>
      </c>
      <c r="C10" s="7">
        <v>0.0010927764797507788</v>
      </c>
      <c r="D10" s="7">
        <v>0.0</v>
      </c>
      <c r="E10" s="13">
        <v>30.0</v>
      </c>
      <c r="F10" s="13">
        <v>281.46333333333337</v>
      </c>
      <c r="G10" s="7">
        <v>0.0</v>
      </c>
      <c r="H10" s="7">
        <v>0.0</v>
      </c>
      <c r="I10" s="13">
        <v>30.0</v>
      </c>
      <c r="J10" s="13">
        <v>2.1653333333333333</v>
      </c>
      <c r="K10" s="7">
        <v>0.0</v>
      </c>
      <c r="L10" s="7">
        <v>1.4762326542663124E-4</v>
      </c>
      <c r="M10" s="13">
        <v>30.0</v>
      </c>
      <c r="N10" s="13">
        <v>6.132333333333334</v>
      </c>
    </row>
    <row r="11">
      <c r="B11" s="9">
        <v>80.0</v>
      </c>
      <c r="C11" s="7">
        <v>3.968253968253968E-4</v>
      </c>
      <c r="D11" s="7">
        <v>0.0</v>
      </c>
      <c r="E11" s="13">
        <v>30.0</v>
      </c>
      <c r="F11" s="13">
        <v>349.3546666666667</v>
      </c>
      <c r="G11" s="7">
        <v>0.0</v>
      </c>
      <c r="H11" s="7">
        <v>0.0</v>
      </c>
      <c r="I11" s="13">
        <v>30.0</v>
      </c>
      <c r="J11" s="13">
        <v>1.9446666666666665</v>
      </c>
      <c r="K11" s="7">
        <v>0.0</v>
      </c>
      <c r="L11" s="7">
        <v>0.0</v>
      </c>
      <c r="M11" s="13">
        <v>30.0</v>
      </c>
      <c r="N11" s="13">
        <v>13.183</v>
      </c>
    </row>
    <row r="12">
      <c r="A12" s="9" t="s">
        <v>83</v>
      </c>
      <c r="C12" s="7">
        <f t="shared" ref="C12:D12" si="1">AVERAGE(C3:C11)</f>
        <v>0.001054040308</v>
      </c>
      <c r="D12" s="7">
        <f t="shared" si="1"/>
        <v>0</v>
      </c>
      <c r="E12" s="13">
        <f>SUM(E3:E11)</f>
        <v>270</v>
      </c>
      <c r="F12" s="13">
        <f t="shared" ref="F12:H12" si="2">AVERAGE(F3:F11)</f>
        <v>194.5576296</v>
      </c>
      <c r="G12" s="7">
        <f t="shared" si="2"/>
        <v>0</v>
      </c>
      <c r="H12" s="7">
        <f t="shared" si="2"/>
        <v>0</v>
      </c>
      <c r="I12" s="13">
        <f>SUM(I3:I11)</f>
        <v>270</v>
      </c>
      <c r="J12" s="13">
        <f t="shared" ref="J12:L12" si="3">AVERAGE(J3:J11)</f>
        <v>1.734851852</v>
      </c>
      <c r="K12" s="7">
        <f t="shared" si="3"/>
        <v>0</v>
      </c>
      <c r="L12" s="7">
        <f t="shared" si="3"/>
        <v>0.0003430800747</v>
      </c>
      <c r="M12" s="13">
        <f>SUM(M3:M11)</f>
        <v>270</v>
      </c>
      <c r="N12" s="13">
        <f>AVERAGE(N3:N11)</f>
        <v>7.139592593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9" t="s">
        <v>1</v>
      </c>
      <c r="G1" s="9" t="s">
        <v>3</v>
      </c>
      <c r="K1" s="9" t="s">
        <v>71</v>
      </c>
    </row>
    <row r="2">
      <c r="C2" s="9" t="s">
        <v>6</v>
      </c>
      <c r="D2" s="9" t="s">
        <v>78</v>
      </c>
      <c r="E2" s="9" t="s">
        <v>76</v>
      </c>
      <c r="F2" s="9" t="s">
        <v>7</v>
      </c>
      <c r="G2" s="9" t="s">
        <v>6</v>
      </c>
      <c r="H2" s="9" t="s">
        <v>78</v>
      </c>
      <c r="I2" s="9" t="s">
        <v>76</v>
      </c>
      <c r="J2" s="9" t="s">
        <v>7</v>
      </c>
      <c r="K2" s="9" t="s">
        <v>78</v>
      </c>
      <c r="L2" s="9" t="s">
        <v>79</v>
      </c>
      <c r="M2" s="9" t="s">
        <v>76</v>
      </c>
      <c r="N2" s="9" t="s">
        <v>7</v>
      </c>
    </row>
    <row r="3">
      <c r="A3" s="9" t="s">
        <v>80</v>
      </c>
      <c r="B3" s="9">
        <v>40.0</v>
      </c>
      <c r="C3" s="7">
        <v>0.19260493766958298</v>
      </c>
      <c r="D3" s="7">
        <v>0.03481162632191375</v>
      </c>
      <c r="E3" s="13">
        <v>17.0</v>
      </c>
      <c r="F3" s="13">
        <v>3110.0196666666666</v>
      </c>
      <c r="G3" s="7">
        <v>0.08310914359902845</v>
      </c>
      <c r="H3" s="7">
        <v>0.0026400534284586785</v>
      </c>
      <c r="I3" s="13">
        <v>26.0</v>
      </c>
      <c r="J3" s="13">
        <v>2143.211333333333</v>
      </c>
      <c r="K3" s="7">
        <v>0.0</v>
      </c>
      <c r="L3" s="7">
        <v>0.002694309474694812</v>
      </c>
      <c r="M3" s="13">
        <v>30.0</v>
      </c>
      <c r="N3" s="13">
        <v>42.431666666666665</v>
      </c>
    </row>
    <row r="4">
      <c r="B4" s="9">
        <v>60.0</v>
      </c>
      <c r="C4" s="7">
        <v>0.16381404708180944</v>
      </c>
      <c r="D4" s="7">
        <v>0.06820818353409425</v>
      </c>
      <c r="E4" s="13">
        <v>9.0</v>
      </c>
      <c r="F4" s="13">
        <v>3409.3496666666665</v>
      </c>
      <c r="G4" s="7">
        <v>0.05650775466350141</v>
      </c>
      <c r="H4" s="7">
        <v>0.010139819516320307</v>
      </c>
      <c r="I4" s="13">
        <v>26.0</v>
      </c>
      <c r="J4" s="13">
        <v>2120.387666666667</v>
      </c>
      <c r="K4" s="7">
        <v>0.0012082794550327019</v>
      </c>
      <c r="L4" s="7">
        <v>0.0035217165925538418</v>
      </c>
      <c r="M4" s="13">
        <v>26.0</v>
      </c>
      <c r="N4" s="13">
        <v>55.167666666666676</v>
      </c>
    </row>
    <row r="5">
      <c r="B5" s="9">
        <v>80.0</v>
      </c>
      <c r="C5" s="7">
        <v>0.09700929790978542</v>
      </c>
      <c r="D5" s="7">
        <v>0.060927183239543235</v>
      </c>
      <c r="E5" s="13">
        <v>7.0</v>
      </c>
      <c r="F5" s="13">
        <v>3403.5873333333334</v>
      </c>
      <c r="G5" s="7">
        <v>0.019814442912925886</v>
      </c>
      <c r="H5" s="7">
        <v>8.080808080808081E-4</v>
      </c>
      <c r="I5" s="13">
        <v>29.0</v>
      </c>
      <c r="J5" s="13">
        <v>1229.8166666666666</v>
      </c>
      <c r="K5" s="7">
        <v>0.0014553570202271249</v>
      </c>
      <c r="L5" s="7">
        <v>0.0041573063083196644</v>
      </c>
      <c r="M5" s="13">
        <v>24.0</v>
      </c>
      <c r="N5" s="13">
        <v>102.893</v>
      </c>
    </row>
    <row r="6">
      <c r="A6" s="9" t="s">
        <v>81</v>
      </c>
      <c r="B6" s="9">
        <v>40.0</v>
      </c>
      <c r="C6" s="7">
        <v>0.2868201680048953</v>
      </c>
      <c r="D6" s="7">
        <v>0.04868048760461088</v>
      </c>
      <c r="E6" s="13">
        <v>12.0</v>
      </c>
      <c r="F6" s="13">
        <v>3307.020333333333</v>
      </c>
      <c r="G6" s="7">
        <v>0.10088307167501953</v>
      </c>
      <c r="H6" s="7">
        <v>0.001972827012251106</v>
      </c>
      <c r="I6" s="13">
        <v>27.0</v>
      </c>
      <c r="J6" s="13">
        <v>2382.116333333333</v>
      </c>
      <c r="K6" s="7">
        <v>7.400199150273005E-4</v>
      </c>
      <c r="L6" s="7">
        <v>0.002553523913342165</v>
      </c>
      <c r="M6" s="13">
        <v>27.0</v>
      </c>
      <c r="N6" s="13">
        <v>100.08699999999999</v>
      </c>
    </row>
    <row r="7">
      <c r="B7" s="9">
        <v>60.0</v>
      </c>
      <c r="C7" s="7">
        <v>0.1456754554589462</v>
      </c>
      <c r="D7" s="7">
        <v>0.05462966331452605</v>
      </c>
      <c r="E7" s="13">
        <v>8.0</v>
      </c>
      <c r="F7" s="13">
        <v>3419.5400000000004</v>
      </c>
      <c r="G7" s="7">
        <v>0.05053404927750723</v>
      </c>
      <c r="H7" s="7">
        <v>0.013119570987934202</v>
      </c>
      <c r="I7" s="13">
        <v>22.0</v>
      </c>
      <c r="J7" s="13">
        <v>2746.250333333334</v>
      </c>
      <c r="K7" s="7">
        <v>7.769219194960488E-4</v>
      </c>
      <c r="L7" s="7">
        <v>0.002495876188762105</v>
      </c>
      <c r="M7" s="13">
        <v>26.0</v>
      </c>
      <c r="N7" s="13">
        <v>201.81633333333335</v>
      </c>
    </row>
    <row r="8">
      <c r="B8" s="9">
        <v>80.0</v>
      </c>
      <c r="C8" s="7">
        <v>0.08524017286632009</v>
      </c>
      <c r="D8" s="7">
        <v>0.05250343224317067</v>
      </c>
      <c r="E8" s="13">
        <v>4.0</v>
      </c>
      <c r="F8" s="13">
        <v>3496.259</v>
      </c>
      <c r="G8" s="7">
        <v>0.012003776837165081</v>
      </c>
      <c r="H8" s="7">
        <v>0.0011159056673251515</v>
      </c>
      <c r="I8" s="13">
        <v>24.0</v>
      </c>
      <c r="J8" s="13">
        <v>2259.441333333333</v>
      </c>
      <c r="K8" s="7">
        <v>0.0016081605655718233</v>
      </c>
      <c r="L8" s="7">
        <v>0.0042234809175210756</v>
      </c>
      <c r="M8" s="13">
        <v>22.0</v>
      </c>
      <c r="N8" s="13">
        <v>480.3036666666666</v>
      </c>
    </row>
    <row r="9">
      <c r="A9" s="9" t="s">
        <v>82</v>
      </c>
      <c r="B9" s="9">
        <v>40.0</v>
      </c>
      <c r="C9" s="7">
        <v>0.24786547905490366</v>
      </c>
      <c r="D9" s="7">
        <v>0.039258581474569405</v>
      </c>
      <c r="E9" s="13">
        <v>12.0</v>
      </c>
      <c r="F9" s="13">
        <v>3215.112333333333</v>
      </c>
      <c r="G9" s="7">
        <v>0.08585470216710465</v>
      </c>
      <c r="H9" s="7">
        <v>0.0010562636107314032</v>
      </c>
      <c r="I9" s="13">
        <v>27.0</v>
      </c>
      <c r="J9" s="13">
        <v>2165.0016666666666</v>
      </c>
      <c r="K9" s="7">
        <v>1.1691840814269498E-4</v>
      </c>
      <c r="L9" s="7">
        <v>8.918782699081601E-4</v>
      </c>
      <c r="M9" s="13">
        <v>27.0</v>
      </c>
      <c r="N9" s="13">
        <v>68.035</v>
      </c>
    </row>
    <row r="10">
      <c r="B10" s="9">
        <v>60.0</v>
      </c>
      <c r="C10" s="7">
        <v>0.1432934975577953</v>
      </c>
      <c r="D10" s="7">
        <v>0.025098791591663828</v>
      </c>
      <c r="E10" s="13">
        <v>7.0</v>
      </c>
      <c r="F10" s="13">
        <v>3491.663333333333</v>
      </c>
      <c r="G10" s="7">
        <v>0.05025741791715755</v>
      </c>
      <c r="H10" s="7">
        <v>0.004355234136430536</v>
      </c>
      <c r="I10" s="13">
        <v>23.0</v>
      </c>
      <c r="J10" s="13">
        <v>2598.5256666666664</v>
      </c>
      <c r="K10" s="7">
        <v>5.78400398095956E-5</v>
      </c>
      <c r="L10" s="7">
        <v>8.364241652919704E-4</v>
      </c>
      <c r="M10" s="13">
        <v>28.0</v>
      </c>
      <c r="N10" s="13">
        <v>153.88033333333334</v>
      </c>
    </row>
    <row r="11">
      <c r="B11" s="9">
        <v>80.0</v>
      </c>
      <c r="C11" s="7">
        <v>0.10834781550638889</v>
      </c>
      <c r="D11" s="7">
        <v>0.050979474621162375</v>
      </c>
      <c r="E11" s="13">
        <v>4.0</v>
      </c>
      <c r="F11" s="13">
        <v>3502.6820000000002</v>
      </c>
      <c r="G11" s="7">
        <v>0.025022262027374745</v>
      </c>
      <c r="H11" s="7">
        <v>0.004733796526060845</v>
      </c>
      <c r="I11" s="13">
        <v>20.0</v>
      </c>
      <c r="J11" s="13">
        <v>2220.8886666666667</v>
      </c>
      <c r="K11" s="7">
        <v>1.1521382084829008E-4</v>
      </c>
      <c r="L11" s="7">
        <v>0.0012838328318396214</v>
      </c>
      <c r="M11" s="13">
        <v>28.0</v>
      </c>
      <c r="N11" s="13">
        <v>293.724</v>
      </c>
    </row>
    <row r="12">
      <c r="C12" s="7">
        <f t="shared" ref="C12:D12" si="1">AVERAGE(C3:C11)</f>
        <v>0.1634078746</v>
      </c>
      <c r="D12" s="7">
        <f t="shared" si="1"/>
        <v>0.04834415822</v>
      </c>
      <c r="E12" s="13">
        <f>SUM(E3:E11)</f>
        <v>80</v>
      </c>
      <c r="F12" s="13">
        <f t="shared" ref="F12:H12" si="2">AVERAGE(F3:F11)</f>
        <v>3372.803741</v>
      </c>
      <c r="G12" s="7">
        <f t="shared" si="2"/>
        <v>0.05377629123</v>
      </c>
      <c r="H12" s="7">
        <f t="shared" si="2"/>
        <v>0.004437950188</v>
      </c>
      <c r="I12" s="13">
        <f>SUM(I3:I11)</f>
        <v>224</v>
      </c>
      <c r="J12" s="13">
        <f t="shared" ref="J12:L12" si="3">AVERAGE(J3:J11)</f>
        <v>2207.293296</v>
      </c>
      <c r="K12" s="7">
        <f t="shared" si="3"/>
        <v>0.0006754123494</v>
      </c>
      <c r="L12" s="7">
        <f t="shared" si="3"/>
        <v>0.002517594296</v>
      </c>
      <c r="M12" s="13">
        <f>SUM(M3:M11)</f>
        <v>238</v>
      </c>
      <c r="N12" s="13">
        <f>AVERAGE(N3:N11)</f>
        <v>166.4820741</v>
      </c>
    </row>
  </sheetData>
  <drawing r:id="rId1"/>
</worksheet>
</file>